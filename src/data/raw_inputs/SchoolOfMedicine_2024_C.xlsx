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parslo/Desktop/Revised files Mar 14/"/>
    </mc:Choice>
  </mc:AlternateContent>
  <xr:revisionPtr revIDLastSave="0" documentId="13_ncr:1_{39EB032B-F5F6-054E-B1E6-F4763B355E90}" xr6:coauthVersionLast="47" xr6:coauthVersionMax="47" xr10:uidLastSave="{00000000-0000-0000-0000-000000000000}"/>
  <bookViews>
    <workbookView xWindow="320" yWindow="740" windowWidth="25800" windowHeight="18240" xr2:uid="{0BD3D960-16DD-4A7B-8204-04A69FAB5B30}"/>
  </bookViews>
  <sheets>
    <sheet name="2024" sheetId="2" r:id="rId1"/>
    <sheet name="Sheet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2" l="1"/>
  <c r="F156" i="2" s="1"/>
  <c r="G156" i="2" s="1"/>
  <c r="H156" i="2" s="1"/>
  <c r="C156" i="2"/>
  <c r="D154" i="2"/>
  <c r="F154" i="2" s="1"/>
  <c r="G154" i="2" s="1"/>
  <c r="H154" i="2" s="1"/>
  <c r="C154" i="2"/>
  <c r="H37" i="2"/>
  <c r="H66" i="2"/>
  <c r="H22" i="2"/>
  <c r="H47" i="2"/>
  <c r="H64" i="2"/>
  <c r="H28" i="2"/>
  <c r="H145" i="2"/>
  <c r="H117" i="2"/>
  <c r="H123" i="2"/>
  <c r="H11" i="2"/>
  <c r="H23" i="2"/>
  <c r="H112" i="2"/>
  <c r="H69" i="2"/>
  <c r="H96" i="2"/>
  <c r="H15" i="2"/>
  <c r="H125" i="2"/>
  <c r="H128" i="2"/>
  <c r="H139" i="2"/>
  <c r="H20" i="2"/>
  <c r="H146" i="2"/>
  <c r="H109" i="2"/>
  <c r="H107" i="2"/>
  <c r="H85" i="2"/>
  <c r="H84" i="2"/>
  <c r="H45" i="2"/>
  <c r="H150" i="2"/>
  <c r="H131" i="2"/>
  <c r="H32" i="2"/>
  <c r="H8" i="2"/>
  <c r="H120" i="2"/>
  <c r="H98" i="2"/>
  <c r="H101" i="2"/>
  <c r="H99" i="2"/>
  <c r="H121" i="2"/>
  <c r="H29" i="2"/>
  <c r="H58" i="2"/>
  <c r="H55" i="2"/>
  <c r="H126" i="2"/>
  <c r="H143" i="2"/>
  <c r="H72" i="2"/>
  <c r="H90" i="2"/>
  <c r="H14" i="2"/>
  <c r="H118" i="2"/>
  <c r="H13" i="2"/>
  <c r="H127" i="2"/>
  <c r="H17" i="2"/>
  <c r="H149" i="2"/>
  <c r="H39" i="2"/>
  <c r="H132" i="2"/>
  <c r="H33" i="2"/>
  <c r="H63" i="2"/>
  <c r="H110" i="2"/>
  <c r="H115" i="2"/>
  <c r="H133" i="2"/>
  <c r="H74" i="2"/>
  <c r="H49" i="2"/>
  <c r="H95" i="2"/>
  <c r="H119" i="2"/>
  <c r="H137" i="2"/>
  <c r="H9" i="2"/>
  <c r="H83" i="2"/>
  <c r="H73" i="2"/>
  <c r="H97" i="2"/>
  <c r="H93" i="2"/>
  <c r="H81" i="2"/>
  <c r="H92" i="2"/>
  <c r="H140" i="2"/>
  <c r="H111" i="2"/>
  <c r="H67" i="2"/>
  <c r="H79" i="2"/>
  <c r="H70" i="2"/>
  <c r="H142" i="2"/>
  <c r="H30" i="2"/>
  <c r="H141" i="2"/>
  <c r="H59" i="2"/>
  <c r="H76" i="2"/>
  <c r="H35" i="2"/>
  <c r="H40" i="2"/>
  <c r="H18" i="2"/>
  <c r="H103" i="2"/>
  <c r="H16" i="2"/>
  <c r="H3" i="2"/>
  <c r="H113" i="2"/>
  <c r="H31" i="2"/>
  <c r="H61" i="2"/>
  <c r="H24" i="2"/>
  <c r="H78" i="2"/>
  <c r="H43" i="2"/>
  <c r="H89" i="2"/>
  <c r="H144" i="2"/>
  <c r="H52" i="2"/>
  <c r="H134" i="2"/>
  <c r="H48" i="2"/>
  <c r="H60" i="2"/>
  <c r="H57" i="2"/>
  <c r="H77" i="2"/>
  <c r="H42" i="2"/>
  <c r="H38" i="2"/>
  <c r="H44" i="2"/>
  <c r="H12" i="2"/>
  <c r="H27" i="2"/>
  <c r="H91" i="2"/>
  <c r="H88" i="2"/>
  <c r="H129" i="2"/>
  <c r="H65" i="2"/>
  <c r="H147" i="2"/>
  <c r="H102" i="2"/>
  <c r="H80" i="2"/>
  <c r="H21" i="2"/>
  <c r="H105" i="2"/>
  <c r="H130" i="2"/>
  <c r="H71" i="2"/>
  <c r="H6" i="2"/>
  <c r="H10" i="2"/>
  <c r="H94" i="2"/>
  <c r="H46" i="2"/>
  <c r="H114" i="2"/>
  <c r="H100" i="2"/>
  <c r="H124" i="2"/>
  <c r="H68" i="2"/>
  <c r="H34" i="2"/>
  <c r="H86" i="2"/>
  <c r="H148" i="2"/>
  <c r="H56" i="2"/>
  <c r="H53" i="2"/>
  <c r="H51" i="2"/>
  <c r="H138" i="2"/>
  <c r="H54" i="2"/>
  <c r="H116" i="2"/>
  <c r="H26" i="2"/>
  <c r="H108" i="2"/>
  <c r="H36" i="2"/>
  <c r="H82" i="2"/>
  <c r="H41" i="2"/>
  <c r="H19" i="2"/>
  <c r="H25" i="2"/>
  <c r="H7" i="2"/>
  <c r="H62" i="2"/>
  <c r="H135" i="2"/>
  <c r="H50" i="2"/>
  <c r="H106" i="2"/>
  <c r="H4" i="2"/>
  <c r="H75" i="2"/>
  <c r="H87" i="2"/>
  <c r="H136" i="2"/>
  <c r="H122" i="2"/>
  <c r="H5" i="2"/>
  <c r="H104" i="2"/>
  <c r="E156" i="2"/>
  <c r="E154" i="2"/>
  <c r="E152" i="2"/>
  <c r="F37" i="2"/>
  <c r="G37" i="2" s="1"/>
  <c r="F66" i="2"/>
  <c r="G66" i="2"/>
  <c r="F22" i="2"/>
  <c r="G22" i="2" s="1"/>
  <c r="F47" i="2"/>
  <c r="G47" i="2" s="1"/>
  <c r="F64" i="2"/>
  <c r="G64" i="2" s="1"/>
  <c r="F28" i="2"/>
  <c r="G28" i="2"/>
  <c r="F145" i="2"/>
  <c r="G145" i="2" s="1"/>
  <c r="F117" i="2"/>
  <c r="G117" i="2" s="1"/>
  <c r="F123" i="2"/>
  <c r="G123" i="2" s="1"/>
  <c r="F11" i="2"/>
  <c r="G11" i="2"/>
  <c r="F23" i="2"/>
  <c r="G23" i="2" s="1"/>
  <c r="F112" i="2"/>
  <c r="G112" i="2" s="1"/>
  <c r="F69" i="2"/>
  <c r="G69" i="2" s="1"/>
  <c r="F96" i="2"/>
  <c r="G96" i="2"/>
  <c r="F15" i="2"/>
  <c r="G15" i="2" s="1"/>
  <c r="F125" i="2"/>
  <c r="G125" i="2" s="1"/>
  <c r="F128" i="2"/>
  <c r="G128" i="2" s="1"/>
  <c r="F139" i="2"/>
  <c r="G139" i="2"/>
  <c r="F20" i="2"/>
  <c r="G20" i="2" s="1"/>
  <c r="F146" i="2"/>
  <c r="G146" i="2" s="1"/>
  <c r="F109" i="2"/>
  <c r="G109" i="2" s="1"/>
  <c r="F107" i="2"/>
  <c r="G107" i="2"/>
  <c r="F85" i="2"/>
  <c r="G85" i="2" s="1"/>
  <c r="F84" i="2"/>
  <c r="G84" i="2" s="1"/>
  <c r="F45" i="2"/>
  <c r="G45" i="2" s="1"/>
  <c r="F150" i="2"/>
  <c r="G150" i="2"/>
  <c r="F131" i="2"/>
  <c r="G131" i="2" s="1"/>
  <c r="F32" i="2"/>
  <c r="G32" i="2" s="1"/>
  <c r="F8" i="2"/>
  <c r="G8" i="2" s="1"/>
  <c r="F120" i="2"/>
  <c r="G120" i="2"/>
  <c r="F98" i="2"/>
  <c r="G98" i="2" s="1"/>
  <c r="F101" i="2"/>
  <c r="G101" i="2" s="1"/>
  <c r="F99" i="2"/>
  <c r="G99" i="2" s="1"/>
  <c r="F121" i="2"/>
  <c r="G121" i="2"/>
  <c r="F29" i="2"/>
  <c r="G29" i="2" s="1"/>
  <c r="F58" i="2"/>
  <c r="G58" i="2" s="1"/>
  <c r="F55" i="2"/>
  <c r="G55" i="2" s="1"/>
  <c r="F126" i="2"/>
  <c r="G126" i="2"/>
  <c r="F143" i="2"/>
  <c r="G143" i="2" s="1"/>
  <c r="F72" i="2"/>
  <c r="G72" i="2" s="1"/>
  <c r="F90" i="2"/>
  <c r="G90" i="2" s="1"/>
  <c r="F14" i="2"/>
  <c r="G14" i="2"/>
  <c r="F118" i="2"/>
  <c r="G118" i="2" s="1"/>
  <c r="F13" i="2"/>
  <c r="G13" i="2" s="1"/>
  <c r="F127" i="2"/>
  <c r="G127" i="2" s="1"/>
  <c r="F17" i="2"/>
  <c r="G17" i="2"/>
  <c r="F149" i="2"/>
  <c r="G149" i="2" s="1"/>
  <c r="F39" i="2"/>
  <c r="G39" i="2" s="1"/>
  <c r="F132" i="2"/>
  <c r="G132" i="2" s="1"/>
  <c r="F33" i="2"/>
  <c r="G33" i="2"/>
  <c r="F63" i="2"/>
  <c r="G63" i="2" s="1"/>
  <c r="F110" i="2"/>
  <c r="G110" i="2" s="1"/>
  <c r="F115" i="2"/>
  <c r="G115" i="2" s="1"/>
  <c r="F133" i="2"/>
  <c r="G133" i="2"/>
  <c r="F74" i="2"/>
  <c r="G74" i="2" s="1"/>
  <c r="F49" i="2"/>
  <c r="G49" i="2" s="1"/>
  <c r="F95" i="2"/>
  <c r="G95" i="2" s="1"/>
  <c r="F119" i="2"/>
  <c r="G119" i="2"/>
  <c r="F137" i="2"/>
  <c r="G137" i="2" s="1"/>
  <c r="F9" i="2"/>
  <c r="G9" i="2" s="1"/>
  <c r="F83" i="2"/>
  <c r="G83" i="2" s="1"/>
  <c r="F73" i="2"/>
  <c r="G73" i="2"/>
  <c r="F97" i="2"/>
  <c r="G97" i="2" s="1"/>
  <c r="F93" i="2"/>
  <c r="G93" i="2" s="1"/>
  <c r="F81" i="2"/>
  <c r="G81" i="2" s="1"/>
  <c r="F92" i="2"/>
  <c r="G92" i="2"/>
  <c r="F140" i="2"/>
  <c r="G140" i="2" s="1"/>
  <c r="F111" i="2"/>
  <c r="G111" i="2" s="1"/>
  <c r="F67" i="2"/>
  <c r="G67" i="2" s="1"/>
  <c r="F79" i="2"/>
  <c r="G79" i="2"/>
  <c r="F70" i="2"/>
  <c r="G70" i="2" s="1"/>
  <c r="F142" i="2"/>
  <c r="G142" i="2" s="1"/>
  <c r="F30" i="2"/>
  <c r="G30" i="2" s="1"/>
  <c r="F141" i="2"/>
  <c r="G141" i="2"/>
  <c r="F59" i="2"/>
  <c r="G59" i="2" s="1"/>
  <c r="F76" i="2"/>
  <c r="G76" i="2" s="1"/>
  <c r="F35" i="2"/>
  <c r="G35" i="2" s="1"/>
  <c r="F40" i="2"/>
  <c r="G40" i="2"/>
  <c r="F18" i="2"/>
  <c r="G18" i="2" s="1"/>
  <c r="F103" i="2"/>
  <c r="G103" i="2" s="1"/>
  <c r="F16" i="2"/>
  <c r="G16" i="2" s="1"/>
  <c r="F3" i="2"/>
  <c r="G3" i="2"/>
  <c r="F113" i="2"/>
  <c r="G113" i="2" s="1"/>
  <c r="F31" i="2"/>
  <c r="G31" i="2" s="1"/>
  <c r="F61" i="2"/>
  <c r="G61" i="2" s="1"/>
  <c r="F24" i="2"/>
  <c r="G24" i="2"/>
  <c r="F78" i="2"/>
  <c r="G78" i="2" s="1"/>
  <c r="F43" i="2"/>
  <c r="G43" i="2" s="1"/>
  <c r="F89" i="2"/>
  <c r="G89" i="2" s="1"/>
  <c r="F144" i="2"/>
  <c r="G144" i="2"/>
  <c r="F52" i="2"/>
  <c r="G52" i="2" s="1"/>
  <c r="F134" i="2"/>
  <c r="G134" i="2" s="1"/>
  <c r="F48" i="2"/>
  <c r="G48" i="2" s="1"/>
  <c r="F60" i="2"/>
  <c r="G60" i="2"/>
  <c r="F57" i="2"/>
  <c r="G57" i="2" s="1"/>
  <c r="F77" i="2"/>
  <c r="G77" i="2" s="1"/>
  <c r="F42" i="2"/>
  <c r="G42" i="2" s="1"/>
  <c r="F38" i="2"/>
  <c r="G38" i="2"/>
  <c r="F44" i="2"/>
  <c r="G44" i="2" s="1"/>
  <c r="F12" i="2"/>
  <c r="G12" i="2" s="1"/>
  <c r="F27" i="2"/>
  <c r="G27" i="2" s="1"/>
  <c r="F91" i="2"/>
  <c r="G91" i="2"/>
  <c r="F88" i="2"/>
  <c r="G88" i="2" s="1"/>
  <c r="F129" i="2"/>
  <c r="G129" i="2" s="1"/>
  <c r="F65" i="2"/>
  <c r="G65" i="2" s="1"/>
  <c r="F147" i="2"/>
  <c r="G147" i="2"/>
  <c r="F102" i="2"/>
  <c r="G102" i="2" s="1"/>
  <c r="F80" i="2"/>
  <c r="G80" i="2" s="1"/>
  <c r="F21" i="2"/>
  <c r="G21" i="2" s="1"/>
  <c r="F105" i="2"/>
  <c r="G105" i="2"/>
  <c r="F130" i="2"/>
  <c r="G130" i="2" s="1"/>
  <c r="F71" i="2"/>
  <c r="G71" i="2" s="1"/>
  <c r="F6" i="2"/>
  <c r="G6" i="2" s="1"/>
  <c r="F10" i="2"/>
  <c r="G10" i="2"/>
  <c r="F94" i="2"/>
  <c r="G94" i="2" s="1"/>
  <c r="F46" i="2"/>
  <c r="G46" i="2" s="1"/>
  <c r="F114" i="2"/>
  <c r="G114" i="2" s="1"/>
  <c r="F100" i="2"/>
  <c r="G100" i="2"/>
  <c r="F124" i="2"/>
  <c r="G124" i="2" s="1"/>
  <c r="F68" i="2"/>
  <c r="G68" i="2" s="1"/>
  <c r="F34" i="2"/>
  <c r="G34" i="2" s="1"/>
  <c r="F86" i="2"/>
  <c r="G86" i="2"/>
  <c r="F148" i="2"/>
  <c r="G148" i="2" s="1"/>
  <c r="F56" i="2"/>
  <c r="G56" i="2" s="1"/>
  <c r="F53" i="2"/>
  <c r="G53" i="2" s="1"/>
  <c r="F51" i="2"/>
  <c r="G51" i="2"/>
  <c r="F138" i="2"/>
  <c r="G138" i="2" s="1"/>
  <c r="F54" i="2"/>
  <c r="G54" i="2" s="1"/>
  <c r="F116" i="2"/>
  <c r="G116" i="2" s="1"/>
  <c r="F26" i="2"/>
  <c r="G26" i="2"/>
  <c r="F108" i="2"/>
  <c r="G108" i="2" s="1"/>
  <c r="F36" i="2"/>
  <c r="G36" i="2" s="1"/>
  <c r="F82" i="2"/>
  <c r="G82" i="2" s="1"/>
  <c r="F41" i="2"/>
  <c r="G41" i="2"/>
  <c r="F19" i="2"/>
  <c r="G19" i="2" s="1"/>
  <c r="F25" i="2"/>
  <c r="G25" i="2" s="1"/>
  <c r="F7" i="2"/>
  <c r="G7" i="2" s="1"/>
  <c r="F62" i="2"/>
  <c r="G62" i="2"/>
  <c r="F135" i="2"/>
  <c r="G135" i="2" s="1"/>
  <c r="F50" i="2"/>
  <c r="G50" i="2" s="1"/>
  <c r="F106" i="2"/>
  <c r="G106" i="2" s="1"/>
  <c r="F4" i="2"/>
  <c r="G4" i="2"/>
  <c r="F75" i="2"/>
  <c r="G75" i="2" s="1"/>
  <c r="F87" i="2"/>
  <c r="G87" i="2" s="1"/>
  <c r="F136" i="2"/>
  <c r="G136" i="2" s="1"/>
  <c r="F122" i="2"/>
  <c r="G122" i="2"/>
  <c r="F5" i="2"/>
  <c r="G5" i="2" s="1"/>
  <c r="F104" i="2"/>
  <c r="G104" i="2" s="1"/>
  <c r="D152" i="2"/>
  <c r="C15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</calcChain>
</file>

<file path=xl/sharedStrings.xml><?xml version="1.0" encoding="utf-8"?>
<sst xmlns="http://schemas.openxmlformats.org/spreadsheetml/2006/main" count="162" uniqueCount="162">
  <si>
    <t>BRIMR.ORG</t>
  </si>
  <si>
    <t>Rank</t>
  </si>
  <si>
    <t>Name</t>
  </si>
  <si>
    <t>MEAN</t>
  </si>
  <si>
    <t>MEDIAN</t>
  </si>
  <si>
    <t>School of Medicine Award</t>
  </si>
  <si>
    <t>Direct Costs</t>
  </si>
  <si>
    <t>GRAND TOTAL</t>
  </si>
  <si>
    <t>From the BLUE RIDGE INSTITUTE for MEDICAL RESEARCH as compiled by Robert Roskoski Jr. and Tristram G Parslow</t>
  </si>
  <si>
    <t>ALBANY MEDICAL COLLEGE</t>
  </si>
  <si>
    <t>ALBERT EINSTEIN COLLEGE OF MEDICINE</t>
  </si>
  <si>
    <t>AUGUSTA UNIVERSITY</t>
  </si>
  <si>
    <t>BAYLOR COLLEGE OF MEDICINE</t>
  </si>
  <si>
    <t>BOSTON UNIVERSITY MEDICAL CAMPUS</t>
  </si>
  <si>
    <t>BROWN UNIVERSITY</t>
  </si>
  <si>
    <t>CENTRAL MICHIGAN UNIVERSITY</t>
  </si>
  <si>
    <t>CHARLES R. DREW UNIV OF MED &amp; SCI</t>
  </si>
  <si>
    <t>CITY COLLEGE OF NEW YORK</t>
  </si>
  <si>
    <t>COLUMBIA UNIVERSITY HEALTH SCIENCES</t>
  </si>
  <si>
    <t>CORNELL UNIVERSITY WEILL MEDICAL COLLEGE</t>
  </si>
  <si>
    <t>CREIGHTON UNIVERSITY</t>
  </si>
  <si>
    <t>DARTMOUTH COLLEGE</t>
  </si>
  <si>
    <t>DREXEL UNIVERSITY</t>
  </si>
  <si>
    <t>DUKE UNIVERSITY</t>
  </si>
  <si>
    <t>EAST CAROLINA UNIVERSITY</t>
  </si>
  <si>
    <t>EAST TENNESSEE STATE UNIVERSITY</t>
  </si>
  <si>
    <t>EASTERN VIRGINIA MEDICAL SCHOOL</t>
  </si>
  <si>
    <t>EMORY UNIVERSITY</t>
  </si>
  <si>
    <t>FLORIDA ATLANTIC UNIVERSITY</t>
  </si>
  <si>
    <t>FLORIDA INTERNATIONAL UNIVERSITY</t>
  </si>
  <si>
    <t>FLORIDA STATE UNIVERSITY</t>
  </si>
  <si>
    <t>GEORGE WASHINGTON UNIVERSITY</t>
  </si>
  <si>
    <t>GEORGETOWN UNIVERSITY</t>
  </si>
  <si>
    <t>HARVARD MEDICAL SCHOOL</t>
  </si>
  <si>
    <t>HOWARD UNIVERSITY</t>
  </si>
  <si>
    <t>JOHNS HOPKINS UNIVERSITY</t>
  </si>
  <si>
    <t>LOMA LINDA UNIVERSITY</t>
  </si>
  <si>
    <t>LOUISIANA STATE UNIV HSC NEW ORLEANS</t>
  </si>
  <si>
    <t>LOUISIANA STATE UNIV HSC SHREVEPORT</t>
  </si>
  <si>
    <t>LOYOLA UNIVERSITY CHICAGO</t>
  </si>
  <si>
    <t>MARSHALL UNIVERSITY</t>
  </si>
  <si>
    <t>MAYO CLINIC ROCHESTER</t>
  </si>
  <si>
    <t>MEDICAL COLLEGE OF WISCONSIN</t>
  </si>
  <si>
    <t>MEDICAL UNIVERSITY OF SOUTH CAROLINA</t>
  </si>
  <si>
    <t>MEHARRY MEDICAL COLLEGE</t>
  </si>
  <si>
    <t>MERCER UNIVERSITY MACON</t>
  </si>
  <si>
    <t>MOREHOUSE SCHOOL OF MEDICINE</t>
  </si>
  <si>
    <t>MOUNT SINAI ICAHN SCHOOL OF MEDICINE</t>
  </si>
  <si>
    <t>NEW YORK MEDICAL COLLEGE</t>
  </si>
  <si>
    <t>NEW YORK UNIVERSITY SCHOOL OF MEDICINE</t>
  </si>
  <si>
    <t>NORTHEAST OHIO MEDICAL UNIVERSITY</t>
  </si>
  <si>
    <t>NORTHWESTERN UNIVERSITY CHICAGO</t>
  </si>
  <si>
    <t>OHIO STATE UNIVERSITY</t>
  </si>
  <si>
    <t>OKLAHOMA STATE UNIV FOR HEALTH SCIENCES</t>
  </si>
  <si>
    <t>OREGON HEALTH &amp; SCIENCE UNIVERSITY</t>
  </si>
  <si>
    <t>PENNSYLVANIA STATE UNIV MED CTR HERSHEY</t>
  </si>
  <si>
    <t>PONCE SCHOOL OF MEDICINE</t>
  </si>
  <si>
    <t>ROWAN UNIVERSITY</t>
  </si>
  <si>
    <t>RUSH UNIVERSITY MEDICAL CENTER</t>
  </si>
  <si>
    <t>RUTGERS, THE STATE UNIVERSITY OF NEW JERSEY</t>
  </si>
  <si>
    <t>SAINT LOUIS UNIVERSITY</t>
  </si>
  <si>
    <t>SOUTHERN ILLINOIS UNIVERSITY SPRINGFIELD</t>
  </si>
  <si>
    <t>STANFORD UNIVERSITY</t>
  </si>
  <si>
    <t>STATE UNIVERSITY OF NEW YORK BUFFALO</t>
  </si>
  <si>
    <t>STATE UNIVERSITY OF NEW YORK STONY BROOK</t>
  </si>
  <si>
    <t>SUNY DOWNSTATE MEDICAL CENTER</t>
  </si>
  <si>
    <t>TEMPLE UNIVERSITY</t>
  </si>
  <si>
    <t>TEXAS A&amp;M UNIVERSITY HEALTH SCIENCE CENTER</t>
  </si>
  <si>
    <t>TEXAS TECH UNIVERSITY HSC EL PASO</t>
  </si>
  <si>
    <t>TEXAS TECH UNIVERSITY HSC LUBBOCK</t>
  </si>
  <si>
    <t>THOMAS JEFFERSON UNIVERSITY</t>
  </si>
  <si>
    <t>TUFTS UNIVERSITY BOSTON</t>
  </si>
  <si>
    <t>UNIVERSIDAD CENTRAL DEL CARIBE</t>
  </si>
  <si>
    <t>UNIVERSITY OF ALABAMA BIRMINGHAM</t>
  </si>
  <si>
    <t>UNIVERSITY OF ALABAMA TUSCALOOSA</t>
  </si>
  <si>
    <t>UNIVERSITY OF ARIZONA</t>
  </si>
  <si>
    <t>UNIVERSITY OF ARKANSAS FOR MED SCIS</t>
  </si>
  <si>
    <t>UNIVERSITY OF CALIFORNIA DAVIS</t>
  </si>
  <si>
    <t>UNIVERSITY OF CALIFORNIA IRVINE</t>
  </si>
  <si>
    <t>UNIVERSITY OF CALIFORNIA LOS ANGELES</t>
  </si>
  <si>
    <t>UNIVERSITY OF CALIFORNIA RIVERSIDE</t>
  </si>
  <si>
    <t>UNIVERSITY OF CALIFORNIA SAN DIEGO</t>
  </si>
  <si>
    <t>UNIVERSITY OF CALIFORNIA SAN FRANCISCO</t>
  </si>
  <si>
    <t>UNIVERSITY OF CENTRAL FLORIDA</t>
  </si>
  <si>
    <t>UNIVERSITY OF CHICAGO</t>
  </si>
  <si>
    <t>UNIVERSITY OF CINCINNATI</t>
  </si>
  <si>
    <t>UNIVERSITY OF COLORADO DENVER</t>
  </si>
  <si>
    <t>UNIVERSITY OF CONNECTICUT SCH OF MED/DNT</t>
  </si>
  <si>
    <t>UNIVERSITY OF FLORIDA</t>
  </si>
  <si>
    <t>UNIVERSITY OF HAWAII MANOA</t>
  </si>
  <si>
    <t>UNIVERSITY OF ILLINOIS CHICAGO</t>
  </si>
  <si>
    <t>UNIVERSITY OF ILLINOIS URBANA-CHAMPAIGN</t>
  </si>
  <si>
    <t>UNIVERSITY OF IOWA</t>
  </si>
  <si>
    <t>UNIVERSITY OF KANSAS MEDICAL CENTER</t>
  </si>
  <si>
    <t>UNIVERSITY OF KENTUCKY</t>
  </si>
  <si>
    <t>UNIVERSITY OF LOUISVILLE</t>
  </si>
  <si>
    <t>UNIVERSITY OF MARYLAND BALTIMORE</t>
  </si>
  <si>
    <t>UNIVERSITY OF MASSACHUSETTS MED SCH WORCESTER</t>
  </si>
  <si>
    <t>UNIVERSITY OF MIAMI SCHOOL OF MEDICINE</t>
  </si>
  <si>
    <t>UNIVERSITY OF MICHIGAN ANN ARBOR</t>
  </si>
  <si>
    <t>UNIVERSITY OF MINNESOTA</t>
  </si>
  <si>
    <t>UNIVERSITY OF MISSISSIPPI MED CTR</t>
  </si>
  <si>
    <t>UNIVERSITY OF MISSOURI COLUMBIA</t>
  </si>
  <si>
    <t>UNIVERSITY OF MISSOURI KANSAS CITY</t>
  </si>
  <si>
    <t>UNIVERSITY OF NEBRASKA MEDICAL CENTER</t>
  </si>
  <si>
    <t>UNIVERSITY OF NEVADA LAS VEGAS</t>
  </si>
  <si>
    <t>UNIVERSITY OF NEVADA RENO</t>
  </si>
  <si>
    <t>UNIVERSITY OF NEW MEXICO HLTH SCIS CTR</t>
  </si>
  <si>
    <t>UNIVERSITY OF NORTH CAROLINA CHAPEL HILL</t>
  </si>
  <si>
    <t>UNIVERSITY OF NORTH DAKOTA</t>
  </si>
  <si>
    <t>UNIVERSITY OF NORTH TEXAS HLTH SCI CTR</t>
  </si>
  <si>
    <t>UNIVERSITY OF OKLAHOMA HLTH SCIS CTR</t>
  </si>
  <si>
    <t>UNIVERSITY OF PENNSYLVANIA</t>
  </si>
  <si>
    <t>UNIVERSITY OF PITTSBURGH</t>
  </si>
  <si>
    <t>UNIVERSITY OF PUERTO RICO MED SCIS</t>
  </si>
  <si>
    <t>UNIVERSITY OF ROCHESTER</t>
  </si>
  <si>
    <t>UNIVERSITY OF SOUTH ALABAMA</t>
  </si>
  <si>
    <t>UNIVERSITY OF SOUTH CAROLINA COLUMBIA</t>
  </si>
  <si>
    <t>UNIVERSITY OF SOUTH DAKOTA</t>
  </si>
  <si>
    <t>UNIVERSITY OF SOUTH FLORIDA</t>
  </si>
  <si>
    <t>UNIVERSITY OF SOUTHERN CALIFORNIA</t>
  </si>
  <si>
    <t>UNIVERSITY OF TENNESSEE HLTH SCI CTR</t>
  </si>
  <si>
    <t>UNIVERSITY OF TEXAS AUSTIN</t>
  </si>
  <si>
    <t>UNIVERSITY OF TEXAS HLTH SCI CTR HOUSTON</t>
  </si>
  <si>
    <t>UNIVERSITY OF TEXAS HLTH SCI CTR SAN ANTONIO</t>
  </si>
  <si>
    <t>UNIVERSITY OF TEXAS MED BR GALVESTON</t>
  </si>
  <si>
    <t>UNIVERSITY OF TEXAS RIO GRANDE VALLEY</t>
  </si>
  <si>
    <t>UNIVERSITY OF TEXAS SOUTHWESTERN DALLAS</t>
  </si>
  <si>
    <t>UNIVERSITY OF TOLEDO HLTH SCI CAMPUS</t>
  </si>
  <si>
    <t>UNIVERSITY OF UTAH</t>
  </si>
  <si>
    <t>UNIVERSITY OF VERMONT</t>
  </si>
  <si>
    <t>UNIVERSITY OF VIRGINIA</t>
  </si>
  <si>
    <t>UNIVERSITY OF WASHINGTON SEATTLE</t>
  </si>
  <si>
    <t>UNIVERSITY OF WISCONSIN MADISON</t>
  </si>
  <si>
    <t>VANDERBILT UNIVERSITY</t>
  </si>
  <si>
    <t>VIRGINIA COMMONWEALTH UNIVERSITY</t>
  </si>
  <si>
    <t>VIRGINIA POLYTECHNIC INST AND ST UNIV</t>
  </si>
  <si>
    <t>WAKE FOREST UNIVERSITY HLTH SCIS</t>
  </si>
  <si>
    <t>WASHINGTON STATE UNIVERSITY</t>
  </si>
  <si>
    <t>WASHINGTON UNIVERSITY ST LOUIS</t>
  </si>
  <si>
    <t>WAYNE STATE UNIVERSITY</t>
  </si>
  <si>
    <t>WEST VIRGINIA UNIVERSITY</t>
  </si>
  <si>
    <t>WESTERN MICHIGAN UNIV SCHOOL OF MEDICINE</t>
  </si>
  <si>
    <t>WRIGHT STATE UNIVERSITY</t>
  </si>
  <si>
    <t>YALE UNIVERSITY</t>
  </si>
  <si>
    <t>CASE WESTERN RESERVE U &amp; CLEVELAND CLINIC LERNER COM</t>
  </si>
  <si>
    <t>HOFSTRA UNIVERSITY</t>
  </si>
  <si>
    <t>INDIANA UNIVERSITY INDIANAPOLIS</t>
  </si>
  <si>
    <t>MICHIGAN STATE UNIVERSITY &amp; HENRY FORD HEALTH</t>
  </si>
  <si>
    <t>OAKLAND UNIVERSITY</t>
  </si>
  <si>
    <t>ROSALIND FRANKLIN UNIV OF MED &amp; SCI</t>
  </si>
  <si>
    <t>SAN JUAN BAUTISTA SCHOOL OF MEDICINE</t>
  </si>
  <si>
    <t>TULANE UNIVERSITY</t>
  </si>
  <si>
    <t>UNIVERSITY OF HOUSTON</t>
  </si>
  <si>
    <t>UNIVERSITY OF TENNESSEE KNOXVILLE</t>
  </si>
  <si>
    <t>UNIVERSITY OF TEXAS HLTH SCI CTR TYLER</t>
  </si>
  <si>
    <t>SUNY UPSTATE MEDICAL CENTER</t>
  </si>
  <si>
    <t>Indirect Costs</t>
  </si>
  <si>
    <t>Direct Costs as % of Total</t>
  </si>
  <si>
    <t>Indirect Costs as % of Total</t>
  </si>
  <si>
    <t>Indirect Costs as % of Direct Costs</t>
  </si>
  <si>
    <t>Created 19 February 2025 and revised 19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</si>
</sst>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mmmm\ d\,\ yyyy;@"/>
  </numFmts>
  <fonts count="9" x14ac:knownFonts="1">
    <font>
      <sz val="10"/>
      <name val="Arial"/>
    </font>
    <font>
      <b/>
      <sz val="10"/>
      <name val="Arial"/>
      <family val="2"/>
    </font>
    <font>
      <b/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2" fillId="0" borderId="1" xfId="1" applyFont="1" applyBorder="1" applyAlignment="1" applyProtection="1">
      <alignment horizontal="center" vertical="distributed"/>
    </xf>
    <xf numFmtId="0" fontId="5" fillId="0" borderId="0" xfId="0" applyFont="1"/>
    <xf numFmtId="2" fontId="0" fillId="0" borderId="1" xfId="0" applyNumberFormat="1" applyBorder="1"/>
    <xf numFmtId="2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/>
    <xf numFmtId="164" fontId="4" fillId="0" borderId="3" xfId="0" applyNumberFormat="1" applyFont="1" applyBorder="1"/>
    <xf numFmtId="164" fontId="4" fillId="0" borderId="2" xfId="0" applyNumberFormat="1" applyFont="1" applyBorder="1"/>
    <xf numFmtId="2" fontId="4" fillId="0" borderId="3" xfId="0" applyNumberFormat="1" applyFont="1" applyBorder="1"/>
    <xf numFmtId="0" fontId="8" fillId="0" borderId="3" xfId="0" applyFont="1" applyBorder="1" applyAlignment="1">
      <alignment horizontal="left"/>
    </xf>
    <xf numFmtId="164" fontId="8" fillId="0" borderId="3" xfId="0" applyNumberFormat="1" applyFont="1" applyBorder="1"/>
    <xf numFmtId="164" fontId="8" fillId="0" borderId="2" xfId="0" applyNumberFormat="1" applyFont="1" applyBorder="1"/>
    <xf numFmtId="165" fontId="8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4" fontId="4" fillId="0" borderId="0" xfId="0" applyNumberFormat="1" applyFont="1"/>
    <xf numFmtId="0" fontId="8" fillId="0" borderId="3" xfId="0" applyFont="1" applyBorder="1" applyAlignment="1">
      <alignment horizontal="right"/>
    </xf>
    <xf numFmtId="0" fontId="8" fillId="0" borderId="3" xfId="0" applyFont="1" applyBorder="1"/>
    <xf numFmtId="0" fontId="0" fillId="0" borderId="4" xfId="0" applyBorder="1"/>
    <xf numFmtId="0" fontId="1" fillId="0" borderId="2" xfId="0" applyFont="1" applyBorder="1" applyAlignment="1">
      <alignment horizontal="center" vertical="distributed"/>
    </xf>
    <xf numFmtId="0" fontId="1" fillId="0" borderId="1" xfId="0" applyFont="1" applyBorder="1" applyAlignment="1">
      <alignment horizontal="center" vertical="distributed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rim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0C07-31B2-4378-8B8B-ECFB4D8F689B}">
  <dimension ref="A1:H156"/>
  <sheetViews>
    <sheetView tabSelected="1" zoomScale="169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3203125" defaultRowHeight="13" x14ac:dyDescent="0.15"/>
  <cols>
    <col min="1" max="1" width="5.6640625" customWidth="1"/>
    <col min="2" max="2" width="48.5" customWidth="1"/>
    <col min="3" max="3" width="14.5" customWidth="1"/>
    <col min="4" max="4" width="12.83203125" style="6" customWidth="1"/>
    <col min="5" max="5" width="12.5" style="6" customWidth="1"/>
    <col min="6" max="6" width="7.33203125" style="4" customWidth="1"/>
    <col min="7" max="7" width="6.6640625" style="4" customWidth="1"/>
    <col min="8" max="8" width="7" customWidth="1"/>
  </cols>
  <sheetData>
    <row r="1" spans="1:8" ht="27" customHeight="1" x14ac:dyDescent="0.15">
      <c r="A1" s="23" t="s">
        <v>8</v>
      </c>
      <c r="B1" s="24"/>
      <c r="C1" s="1" t="s">
        <v>0</v>
      </c>
      <c r="D1" s="5"/>
      <c r="E1" s="5"/>
      <c r="F1" s="3"/>
      <c r="G1" s="3"/>
      <c r="H1" s="22"/>
    </row>
    <row r="2" spans="1:8" ht="58.5" customHeight="1" x14ac:dyDescent="0.15">
      <c r="A2" s="7" t="s">
        <v>1</v>
      </c>
      <c r="B2" s="7" t="s">
        <v>2</v>
      </c>
      <c r="C2" s="7" t="s">
        <v>5</v>
      </c>
      <c r="D2" s="8" t="s">
        <v>6</v>
      </c>
      <c r="E2" s="8" t="s">
        <v>157</v>
      </c>
      <c r="F2" s="9" t="s">
        <v>158</v>
      </c>
      <c r="G2" s="9" t="s">
        <v>159</v>
      </c>
      <c r="H2" s="9" t="s">
        <v>160</v>
      </c>
    </row>
    <row r="3" spans="1:8" x14ac:dyDescent="0.15">
      <c r="A3" s="10">
        <v>1</v>
      </c>
      <c r="B3" s="10" t="s">
        <v>82</v>
      </c>
      <c r="C3" s="11">
        <v>726020299</v>
      </c>
      <c r="D3" s="12">
        <v>539756014</v>
      </c>
      <c r="E3" s="11">
        <v>188866089</v>
      </c>
      <c r="F3" s="13">
        <f t="shared" ref="F3:F34" si="0">100*D3/C3</f>
        <v>74.344479726454594</v>
      </c>
      <c r="G3" s="13">
        <f t="shared" ref="G3:G34" si="1">100-F3</f>
        <v>25.655520273545406</v>
      </c>
      <c r="H3" s="13">
        <f t="shared" ref="H3:H34" si="2">100*E3/D3</f>
        <v>34.99101151284254</v>
      </c>
    </row>
    <row r="4" spans="1:8" x14ac:dyDescent="0.15">
      <c r="A4" s="10">
        <f>1+A3</f>
        <v>2</v>
      </c>
      <c r="B4" s="10" t="s">
        <v>139</v>
      </c>
      <c r="C4" s="11">
        <v>683318054</v>
      </c>
      <c r="D4" s="12">
        <v>512595847</v>
      </c>
      <c r="E4" s="11">
        <v>176303541</v>
      </c>
      <c r="F4" s="13">
        <f t="shared" si="0"/>
        <v>75.015703741379554</v>
      </c>
      <c r="G4" s="13">
        <f t="shared" si="1"/>
        <v>24.984296258620446</v>
      </c>
      <c r="H4" s="13">
        <f t="shared" si="2"/>
        <v>34.394258562925891</v>
      </c>
    </row>
    <row r="5" spans="1:8" x14ac:dyDescent="0.15">
      <c r="A5" s="10">
        <f t="shared" ref="A5:A68" si="3">1+A4</f>
        <v>3</v>
      </c>
      <c r="B5" s="10" t="s">
        <v>144</v>
      </c>
      <c r="C5" s="11">
        <v>598157843</v>
      </c>
      <c r="D5" s="12">
        <v>433446452</v>
      </c>
      <c r="E5" s="11">
        <v>186142364</v>
      </c>
      <c r="F5" s="13">
        <f t="shared" si="0"/>
        <v>72.463557415897668</v>
      </c>
      <c r="G5" s="13">
        <f t="shared" si="1"/>
        <v>27.536442584102332</v>
      </c>
      <c r="H5" s="13">
        <f t="shared" si="2"/>
        <v>42.944719732069693</v>
      </c>
    </row>
    <row r="6" spans="1:8" x14ac:dyDescent="0.15">
      <c r="A6" s="10">
        <f t="shared" si="3"/>
        <v>4</v>
      </c>
      <c r="B6" s="10" t="s">
        <v>112</v>
      </c>
      <c r="C6" s="11">
        <v>587526359</v>
      </c>
      <c r="D6" s="12">
        <v>417155739</v>
      </c>
      <c r="E6" s="11">
        <v>176115805</v>
      </c>
      <c r="F6" s="13">
        <f t="shared" si="0"/>
        <v>71.002046565199294</v>
      </c>
      <c r="G6" s="13">
        <f t="shared" si="1"/>
        <v>28.997953434800706</v>
      </c>
      <c r="H6" s="13">
        <f t="shared" si="2"/>
        <v>42.218238546156023</v>
      </c>
    </row>
    <row r="7" spans="1:8" x14ac:dyDescent="0.15">
      <c r="A7" s="10">
        <f t="shared" si="3"/>
        <v>5</v>
      </c>
      <c r="B7" s="10" t="s">
        <v>134</v>
      </c>
      <c r="C7" s="11">
        <v>586273695</v>
      </c>
      <c r="D7" s="12">
        <v>442042601</v>
      </c>
      <c r="E7" s="11">
        <v>155666431</v>
      </c>
      <c r="F7" s="13">
        <f t="shared" si="0"/>
        <v>75.398675528159245</v>
      </c>
      <c r="G7" s="13">
        <f t="shared" si="1"/>
        <v>24.601324471840755</v>
      </c>
      <c r="H7" s="13">
        <f t="shared" si="2"/>
        <v>35.215255418334671</v>
      </c>
    </row>
    <row r="8" spans="1:8" x14ac:dyDescent="0.15">
      <c r="A8" s="10">
        <f t="shared" si="3"/>
        <v>6</v>
      </c>
      <c r="B8" s="10" t="s">
        <v>35</v>
      </c>
      <c r="C8" s="11">
        <v>571755774</v>
      </c>
      <c r="D8" s="12">
        <v>431321816</v>
      </c>
      <c r="E8" s="11">
        <v>163234905</v>
      </c>
      <c r="F8" s="13">
        <f t="shared" si="0"/>
        <v>75.438121592104807</v>
      </c>
      <c r="G8" s="13">
        <f t="shared" si="1"/>
        <v>24.561878407895193</v>
      </c>
      <c r="H8" s="13">
        <f t="shared" si="2"/>
        <v>37.845269806616969</v>
      </c>
    </row>
    <row r="9" spans="1:8" x14ac:dyDescent="0.15">
      <c r="A9" s="10">
        <f t="shared" si="3"/>
        <v>7</v>
      </c>
      <c r="B9" s="10" t="s">
        <v>62</v>
      </c>
      <c r="C9" s="11">
        <v>548681085</v>
      </c>
      <c r="D9" s="12">
        <v>396279626</v>
      </c>
      <c r="E9" s="11">
        <v>157406740</v>
      </c>
      <c r="F9" s="13">
        <f t="shared" si="0"/>
        <v>72.22403629970222</v>
      </c>
      <c r="G9" s="13">
        <f t="shared" si="1"/>
        <v>27.77596370029778</v>
      </c>
      <c r="H9" s="13">
        <f t="shared" si="2"/>
        <v>39.721128635566039</v>
      </c>
    </row>
    <row r="10" spans="1:8" x14ac:dyDescent="0.15">
      <c r="A10" s="10">
        <f t="shared" si="3"/>
        <v>8</v>
      </c>
      <c r="B10" s="10" t="s">
        <v>113</v>
      </c>
      <c r="C10" s="11">
        <v>535038697</v>
      </c>
      <c r="D10" s="12">
        <v>386172212</v>
      </c>
      <c r="E10" s="11">
        <v>155741173</v>
      </c>
      <c r="F10" s="13">
        <f t="shared" si="0"/>
        <v>72.176501282111943</v>
      </c>
      <c r="G10" s="13">
        <f t="shared" si="1"/>
        <v>27.823498717888057</v>
      </c>
      <c r="H10" s="13">
        <f t="shared" si="2"/>
        <v>40.329461354407343</v>
      </c>
    </row>
    <row r="11" spans="1:8" x14ac:dyDescent="0.15">
      <c r="A11" s="10">
        <f t="shared" si="3"/>
        <v>9</v>
      </c>
      <c r="B11" s="10" t="s">
        <v>18</v>
      </c>
      <c r="C11" s="11">
        <v>527236660</v>
      </c>
      <c r="D11" s="12">
        <v>379345298</v>
      </c>
      <c r="E11" s="11">
        <v>151545706</v>
      </c>
      <c r="F11" s="13">
        <f t="shared" si="0"/>
        <v>71.94971950546838</v>
      </c>
      <c r="G11" s="13">
        <f t="shared" si="1"/>
        <v>28.05028049453162</v>
      </c>
      <c r="H11" s="13">
        <f t="shared" si="2"/>
        <v>39.949277557672538</v>
      </c>
    </row>
    <row r="12" spans="1:8" x14ac:dyDescent="0.15">
      <c r="A12" s="10">
        <f t="shared" si="3"/>
        <v>10</v>
      </c>
      <c r="B12" s="10" t="s">
        <v>99</v>
      </c>
      <c r="C12" s="11">
        <v>510493010</v>
      </c>
      <c r="D12" s="12">
        <v>376305608</v>
      </c>
      <c r="E12" s="11">
        <v>142860738</v>
      </c>
      <c r="F12" s="13">
        <f t="shared" si="0"/>
        <v>73.714154871581883</v>
      </c>
      <c r="G12" s="13">
        <f t="shared" si="1"/>
        <v>26.285845128418117</v>
      </c>
      <c r="H12" s="13">
        <f t="shared" si="2"/>
        <v>37.964020456479616</v>
      </c>
    </row>
    <row r="13" spans="1:8" x14ac:dyDescent="0.15">
      <c r="A13" s="10">
        <f t="shared" si="3"/>
        <v>11</v>
      </c>
      <c r="B13" s="10" t="s">
        <v>49</v>
      </c>
      <c r="C13" s="11">
        <v>490227441</v>
      </c>
      <c r="D13" s="12">
        <v>384694806</v>
      </c>
      <c r="E13" s="11">
        <v>122213005</v>
      </c>
      <c r="F13" s="13">
        <f t="shared" si="0"/>
        <v>78.472719767639447</v>
      </c>
      <c r="G13" s="13">
        <f t="shared" si="1"/>
        <v>21.527280232360553</v>
      </c>
      <c r="H13" s="13">
        <f t="shared" si="2"/>
        <v>31.768821178209514</v>
      </c>
    </row>
    <row r="14" spans="1:8" x14ac:dyDescent="0.15">
      <c r="A14" s="10">
        <f t="shared" si="3"/>
        <v>12</v>
      </c>
      <c r="B14" s="10" t="s">
        <v>47</v>
      </c>
      <c r="C14" s="11">
        <v>460463801</v>
      </c>
      <c r="D14" s="12">
        <v>320423542</v>
      </c>
      <c r="E14" s="11">
        <v>141928383</v>
      </c>
      <c r="F14" s="13">
        <f t="shared" si="0"/>
        <v>69.587129608044904</v>
      </c>
      <c r="G14" s="13">
        <f t="shared" si="1"/>
        <v>30.412870391955096</v>
      </c>
      <c r="H14" s="13">
        <f t="shared" si="2"/>
        <v>44.293993541835327</v>
      </c>
    </row>
    <row r="15" spans="1:8" x14ac:dyDescent="0.15">
      <c r="A15" s="10">
        <f t="shared" si="3"/>
        <v>13</v>
      </c>
      <c r="B15" s="10" t="s">
        <v>23</v>
      </c>
      <c r="C15" s="11">
        <v>454891637</v>
      </c>
      <c r="D15" s="12">
        <v>330166893</v>
      </c>
      <c r="E15" s="11">
        <v>134940325</v>
      </c>
      <c r="F15" s="13">
        <f t="shared" si="0"/>
        <v>72.581438334950093</v>
      </c>
      <c r="G15" s="13">
        <f t="shared" si="1"/>
        <v>27.418561665049907</v>
      </c>
      <c r="H15" s="13">
        <f t="shared" si="2"/>
        <v>40.87033795965727</v>
      </c>
    </row>
    <row r="16" spans="1:8" x14ac:dyDescent="0.15">
      <c r="A16" s="10">
        <f t="shared" si="3"/>
        <v>14</v>
      </c>
      <c r="B16" s="10" t="s">
        <v>81</v>
      </c>
      <c r="C16" s="11">
        <v>421750478</v>
      </c>
      <c r="D16" s="12">
        <v>303291772</v>
      </c>
      <c r="E16" s="11">
        <v>122428826</v>
      </c>
      <c r="F16" s="13">
        <f t="shared" si="0"/>
        <v>71.912608952632894</v>
      </c>
      <c r="G16" s="13">
        <f t="shared" si="1"/>
        <v>28.087391047367106</v>
      </c>
      <c r="H16" s="13">
        <f t="shared" si="2"/>
        <v>40.366682285070361</v>
      </c>
    </row>
    <row r="17" spans="1:8" x14ac:dyDescent="0.15">
      <c r="A17" s="10">
        <f t="shared" si="3"/>
        <v>15</v>
      </c>
      <c r="B17" s="10" t="s">
        <v>51</v>
      </c>
      <c r="C17" s="11">
        <v>414130627</v>
      </c>
      <c r="D17" s="12">
        <v>300013429</v>
      </c>
      <c r="E17" s="11">
        <v>125122116</v>
      </c>
      <c r="F17" s="13">
        <f t="shared" si="0"/>
        <v>72.444153955317105</v>
      </c>
      <c r="G17" s="13">
        <f t="shared" si="1"/>
        <v>27.555846044682895</v>
      </c>
      <c r="H17" s="13">
        <f t="shared" si="2"/>
        <v>41.705505122572362</v>
      </c>
    </row>
    <row r="18" spans="1:8" x14ac:dyDescent="0.15">
      <c r="A18" s="10">
        <f t="shared" si="3"/>
        <v>16</v>
      </c>
      <c r="B18" s="10" t="s">
        <v>79</v>
      </c>
      <c r="C18" s="11">
        <v>403553360</v>
      </c>
      <c r="D18" s="12">
        <v>330359432</v>
      </c>
      <c r="E18" s="11">
        <v>95925268</v>
      </c>
      <c r="F18" s="13">
        <f t="shared" si="0"/>
        <v>81.862639428897339</v>
      </c>
      <c r="G18" s="13">
        <f t="shared" si="1"/>
        <v>18.137360571102661</v>
      </c>
      <c r="H18" s="13">
        <f t="shared" si="2"/>
        <v>29.036636677593027</v>
      </c>
    </row>
    <row r="19" spans="1:8" x14ac:dyDescent="0.15">
      <c r="A19" s="10">
        <f t="shared" si="3"/>
        <v>17</v>
      </c>
      <c r="B19" s="10" t="s">
        <v>132</v>
      </c>
      <c r="C19" s="11">
        <v>380713087</v>
      </c>
      <c r="D19" s="12">
        <v>280221231</v>
      </c>
      <c r="E19" s="11">
        <v>104305153</v>
      </c>
      <c r="F19" s="13">
        <f t="shared" si="0"/>
        <v>73.604307434800631</v>
      </c>
      <c r="G19" s="13">
        <f t="shared" si="1"/>
        <v>26.395692565199369</v>
      </c>
      <c r="H19" s="13">
        <f t="shared" si="2"/>
        <v>37.222430515980427</v>
      </c>
    </row>
    <row r="20" spans="1:8" x14ac:dyDescent="0.15">
      <c r="A20" s="10">
        <f t="shared" si="3"/>
        <v>18</v>
      </c>
      <c r="B20" s="10" t="s">
        <v>27</v>
      </c>
      <c r="C20" s="11">
        <v>374577692</v>
      </c>
      <c r="D20" s="12">
        <v>278197421</v>
      </c>
      <c r="E20" s="11">
        <v>104087083</v>
      </c>
      <c r="F20" s="13">
        <f t="shared" si="0"/>
        <v>74.269618010247129</v>
      </c>
      <c r="G20" s="13">
        <f t="shared" si="1"/>
        <v>25.730381989752871</v>
      </c>
      <c r="H20" s="13">
        <f t="shared" si="2"/>
        <v>37.414826717606417</v>
      </c>
    </row>
    <row r="21" spans="1:8" x14ac:dyDescent="0.15">
      <c r="A21" s="10">
        <f t="shared" si="3"/>
        <v>19</v>
      </c>
      <c r="B21" s="10" t="s">
        <v>108</v>
      </c>
      <c r="C21" s="11">
        <v>349006984</v>
      </c>
      <c r="D21" s="12">
        <v>261096988</v>
      </c>
      <c r="E21" s="11">
        <v>91139903</v>
      </c>
      <c r="F21" s="13">
        <f t="shared" si="0"/>
        <v>74.811393459106256</v>
      </c>
      <c r="G21" s="13">
        <f t="shared" si="1"/>
        <v>25.188606540893744</v>
      </c>
      <c r="H21" s="13">
        <f t="shared" si="2"/>
        <v>34.906531744441267</v>
      </c>
    </row>
    <row r="22" spans="1:8" x14ac:dyDescent="0.15">
      <c r="A22" s="10">
        <f t="shared" si="3"/>
        <v>20</v>
      </c>
      <c r="B22" s="10" t="s">
        <v>12</v>
      </c>
      <c r="C22" s="11">
        <v>319871538</v>
      </c>
      <c r="D22" s="12">
        <v>229755028</v>
      </c>
      <c r="E22" s="11">
        <v>93414981</v>
      </c>
      <c r="F22" s="13">
        <f t="shared" si="0"/>
        <v>71.827280862981937</v>
      </c>
      <c r="G22" s="13">
        <f t="shared" si="1"/>
        <v>28.172719137018063</v>
      </c>
      <c r="H22" s="13">
        <f t="shared" si="2"/>
        <v>40.658514337279271</v>
      </c>
    </row>
    <row r="23" spans="1:8" x14ac:dyDescent="0.15">
      <c r="A23" s="10">
        <f t="shared" si="3"/>
        <v>21</v>
      </c>
      <c r="B23" s="10" t="s">
        <v>19</v>
      </c>
      <c r="C23" s="11">
        <v>313171313</v>
      </c>
      <c r="D23" s="12">
        <v>227487060</v>
      </c>
      <c r="E23" s="11">
        <v>90776459</v>
      </c>
      <c r="F23" s="13">
        <f t="shared" si="0"/>
        <v>72.639814234837019</v>
      </c>
      <c r="G23" s="13">
        <f t="shared" si="1"/>
        <v>27.360185765162981</v>
      </c>
      <c r="H23" s="13">
        <f t="shared" si="2"/>
        <v>39.90400992478429</v>
      </c>
    </row>
    <row r="24" spans="1:8" x14ac:dyDescent="0.15">
      <c r="A24" s="10">
        <f t="shared" si="3"/>
        <v>22</v>
      </c>
      <c r="B24" s="10" t="s">
        <v>86</v>
      </c>
      <c r="C24" s="11">
        <v>304038136</v>
      </c>
      <c r="D24" s="12">
        <v>225776022</v>
      </c>
      <c r="E24" s="11">
        <v>80384231</v>
      </c>
      <c r="F24" s="13">
        <f t="shared" si="0"/>
        <v>74.259112679206794</v>
      </c>
      <c r="G24" s="13">
        <f t="shared" si="1"/>
        <v>25.740887320793206</v>
      </c>
      <c r="H24" s="13">
        <f t="shared" si="2"/>
        <v>35.603528792796254</v>
      </c>
    </row>
    <row r="25" spans="1:8" x14ac:dyDescent="0.15">
      <c r="A25" s="10">
        <f t="shared" si="3"/>
        <v>23</v>
      </c>
      <c r="B25" s="10" t="s">
        <v>133</v>
      </c>
      <c r="C25" s="11">
        <v>294187179</v>
      </c>
      <c r="D25" s="12">
        <v>220553270</v>
      </c>
      <c r="E25" s="11">
        <v>77656340</v>
      </c>
      <c r="F25" s="13">
        <f t="shared" si="0"/>
        <v>74.970388155494703</v>
      </c>
      <c r="G25" s="13">
        <f t="shared" si="1"/>
        <v>25.029611844505297</v>
      </c>
      <c r="H25" s="13">
        <f t="shared" si="2"/>
        <v>35.209788546776025</v>
      </c>
    </row>
    <row r="26" spans="1:8" x14ac:dyDescent="0.15">
      <c r="A26" s="10">
        <f t="shared" si="3"/>
        <v>24</v>
      </c>
      <c r="B26" s="10" t="s">
        <v>127</v>
      </c>
      <c r="C26" s="11">
        <v>293771084</v>
      </c>
      <c r="D26" s="12">
        <v>206977890</v>
      </c>
      <c r="E26" s="11">
        <v>93176032</v>
      </c>
      <c r="F26" s="13">
        <f t="shared" si="0"/>
        <v>70.45550133177845</v>
      </c>
      <c r="G26" s="13">
        <f t="shared" si="1"/>
        <v>29.54449866822155</v>
      </c>
      <c r="H26" s="13">
        <f t="shared" si="2"/>
        <v>45.01738422398644</v>
      </c>
    </row>
    <row r="27" spans="1:8" x14ac:dyDescent="0.15">
      <c r="A27" s="10">
        <f t="shared" si="3"/>
        <v>25</v>
      </c>
      <c r="B27" s="10" t="s">
        <v>100</v>
      </c>
      <c r="C27" s="11">
        <v>291133902</v>
      </c>
      <c r="D27" s="12">
        <v>214179540</v>
      </c>
      <c r="E27" s="11">
        <v>82387122</v>
      </c>
      <c r="F27" s="13">
        <f t="shared" si="0"/>
        <v>73.567364889026223</v>
      </c>
      <c r="G27" s="13">
        <f t="shared" si="1"/>
        <v>26.432635110973777</v>
      </c>
      <c r="H27" s="13">
        <f t="shared" si="2"/>
        <v>38.46638292341089</v>
      </c>
    </row>
    <row r="28" spans="1:8" x14ac:dyDescent="0.15">
      <c r="A28" s="10">
        <f t="shared" si="3"/>
        <v>26</v>
      </c>
      <c r="B28" s="10" t="s">
        <v>145</v>
      </c>
      <c r="C28" s="11">
        <v>289200267</v>
      </c>
      <c r="D28" s="12">
        <v>201090055</v>
      </c>
      <c r="E28" s="11">
        <v>89979805</v>
      </c>
      <c r="F28" s="13">
        <f t="shared" si="0"/>
        <v>69.533149843184617</v>
      </c>
      <c r="G28" s="13">
        <f t="shared" si="1"/>
        <v>30.466850156815383</v>
      </c>
      <c r="H28" s="13">
        <f t="shared" si="2"/>
        <v>44.746024362070017</v>
      </c>
    </row>
    <row r="29" spans="1:8" x14ac:dyDescent="0.15">
      <c r="A29" s="10">
        <f t="shared" si="3"/>
        <v>27</v>
      </c>
      <c r="B29" s="10" t="s">
        <v>41</v>
      </c>
      <c r="C29" s="11">
        <v>278615843</v>
      </c>
      <c r="D29" s="12">
        <v>196317354</v>
      </c>
      <c r="E29" s="11">
        <v>84380150</v>
      </c>
      <c r="F29" s="13">
        <f t="shared" si="0"/>
        <v>70.461662153217901</v>
      </c>
      <c r="G29" s="13">
        <f t="shared" si="1"/>
        <v>29.538337846782099</v>
      </c>
      <c r="H29" s="13">
        <f t="shared" si="2"/>
        <v>42.981503306121375</v>
      </c>
    </row>
    <row r="30" spans="1:8" x14ac:dyDescent="0.15">
      <c r="A30" s="10">
        <f t="shared" si="3"/>
        <v>28</v>
      </c>
      <c r="B30" s="10" t="s">
        <v>73</v>
      </c>
      <c r="C30" s="11">
        <v>270810216</v>
      </c>
      <c r="D30" s="12">
        <v>207130437</v>
      </c>
      <c r="E30" s="11">
        <v>67011889</v>
      </c>
      <c r="F30" s="13">
        <f t="shared" si="0"/>
        <v>76.485459100996394</v>
      </c>
      <c r="G30" s="13">
        <f t="shared" si="1"/>
        <v>23.514540899003606</v>
      </c>
      <c r="H30" s="13">
        <f t="shared" si="2"/>
        <v>32.352506937452169</v>
      </c>
    </row>
    <row r="31" spans="1:8" x14ac:dyDescent="0.15">
      <c r="A31" s="10">
        <f t="shared" si="3"/>
        <v>29</v>
      </c>
      <c r="B31" s="14" t="s">
        <v>84</v>
      </c>
      <c r="C31" s="11">
        <v>232851513</v>
      </c>
      <c r="D31" s="12">
        <v>170232573</v>
      </c>
      <c r="E31" s="11">
        <v>64652659</v>
      </c>
      <c r="F31" s="13">
        <f t="shared" si="0"/>
        <v>73.107780493571454</v>
      </c>
      <c r="G31" s="13">
        <f t="shared" si="1"/>
        <v>26.892219506428546</v>
      </c>
      <c r="H31" s="13">
        <f t="shared" si="2"/>
        <v>37.979017681886297</v>
      </c>
    </row>
    <row r="32" spans="1:8" x14ac:dyDescent="0.15">
      <c r="A32" s="10">
        <f t="shared" si="3"/>
        <v>30</v>
      </c>
      <c r="B32" s="10" t="s">
        <v>147</v>
      </c>
      <c r="C32" s="11">
        <v>232445734</v>
      </c>
      <c r="D32" s="12">
        <v>167968605</v>
      </c>
      <c r="E32" s="11">
        <v>65616359</v>
      </c>
      <c r="F32" s="13">
        <f t="shared" si="0"/>
        <v>72.261427262846652</v>
      </c>
      <c r="G32" s="13">
        <f t="shared" si="1"/>
        <v>27.738572737153348</v>
      </c>
      <c r="H32" s="13">
        <f t="shared" si="2"/>
        <v>39.064656755350207</v>
      </c>
    </row>
    <row r="33" spans="1:8" x14ac:dyDescent="0.15">
      <c r="A33" s="10">
        <f t="shared" si="3"/>
        <v>31</v>
      </c>
      <c r="B33" s="10" t="s">
        <v>54</v>
      </c>
      <c r="C33" s="11">
        <v>224352847</v>
      </c>
      <c r="D33" s="12">
        <v>178650445</v>
      </c>
      <c r="E33" s="11">
        <v>60307773</v>
      </c>
      <c r="F33" s="13">
        <f t="shared" si="0"/>
        <v>79.629230200943255</v>
      </c>
      <c r="G33" s="13">
        <f t="shared" si="1"/>
        <v>20.370769799056745</v>
      </c>
      <c r="H33" s="13">
        <f t="shared" si="2"/>
        <v>33.757415493703363</v>
      </c>
    </row>
    <row r="34" spans="1:8" x14ac:dyDescent="0.15">
      <c r="A34" s="10">
        <f t="shared" si="3"/>
        <v>32</v>
      </c>
      <c r="B34" s="10" t="s">
        <v>120</v>
      </c>
      <c r="C34" s="11">
        <v>219614405</v>
      </c>
      <c r="D34" s="12">
        <v>168236290</v>
      </c>
      <c r="E34" s="11">
        <v>57342600</v>
      </c>
      <c r="F34" s="13">
        <f t="shared" si="0"/>
        <v>76.605307379540974</v>
      </c>
      <c r="G34" s="13">
        <f t="shared" si="1"/>
        <v>23.394692620459026</v>
      </c>
      <c r="H34" s="13">
        <f t="shared" si="2"/>
        <v>34.084560471465458</v>
      </c>
    </row>
    <row r="35" spans="1:8" x14ac:dyDescent="0.15">
      <c r="A35" s="10">
        <f t="shared" si="3"/>
        <v>33</v>
      </c>
      <c r="B35" s="10" t="s">
        <v>77</v>
      </c>
      <c r="C35" s="11">
        <v>209940972</v>
      </c>
      <c r="D35" s="12">
        <v>150207749</v>
      </c>
      <c r="E35" s="11">
        <v>61476252</v>
      </c>
      <c r="F35" s="13">
        <f t="shared" ref="F35:F66" si="4">100*D35/C35</f>
        <v>71.547610535022201</v>
      </c>
      <c r="G35" s="13">
        <f t="shared" ref="G35:G66" si="5">100-F35</f>
        <v>28.452389464977799</v>
      </c>
      <c r="H35" s="13">
        <f t="shared" ref="H35:H66" si="6">100*E35/D35</f>
        <v>40.927483707914433</v>
      </c>
    </row>
    <row r="36" spans="1:8" x14ac:dyDescent="0.15">
      <c r="A36" s="10">
        <f t="shared" si="3"/>
        <v>34</v>
      </c>
      <c r="B36" s="10" t="s">
        <v>129</v>
      </c>
      <c r="C36" s="11">
        <v>204296142</v>
      </c>
      <c r="D36" s="12">
        <v>151548018</v>
      </c>
      <c r="E36" s="11">
        <v>54917593</v>
      </c>
      <c r="F36" s="13">
        <f t="shared" si="4"/>
        <v>74.180557947100141</v>
      </c>
      <c r="G36" s="13">
        <f t="shared" si="5"/>
        <v>25.819442052899859</v>
      </c>
      <c r="H36" s="13">
        <f t="shared" si="6"/>
        <v>36.237750730596822</v>
      </c>
    </row>
    <row r="37" spans="1:8" x14ac:dyDescent="0.15">
      <c r="A37" s="10">
        <f t="shared" si="3"/>
        <v>35</v>
      </c>
      <c r="B37" s="10" t="s">
        <v>10</v>
      </c>
      <c r="C37" s="11">
        <v>192432013</v>
      </c>
      <c r="D37" s="12">
        <v>137753886</v>
      </c>
      <c r="E37" s="11">
        <v>56504079</v>
      </c>
      <c r="F37" s="13">
        <f t="shared" si="4"/>
        <v>71.585742856621266</v>
      </c>
      <c r="G37" s="13">
        <f t="shared" si="5"/>
        <v>28.414257143378734</v>
      </c>
      <c r="H37" s="13">
        <f t="shared" si="6"/>
        <v>41.018137956558263</v>
      </c>
    </row>
    <row r="38" spans="1:8" x14ac:dyDescent="0.15">
      <c r="A38" s="10">
        <f t="shared" si="3"/>
        <v>36</v>
      </c>
      <c r="B38" s="10" t="s">
        <v>97</v>
      </c>
      <c r="C38" s="11">
        <v>191053492</v>
      </c>
      <c r="D38" s="12">
        <v>132707184</v>
      </c>
      <c r="E38" s="11">
        <v>59182679</v>
      </c>
      <c r="F38" s="13">
        <f t="shared" si="4"/>
        <v>69.460747673745743</v>
      </c>
      <c r="G38" s="13">
        <f t="shared" si="5"/>
        <v>30.539252326254257</v>
      </c>
      <c r="H38" s="13">
        <f t="shared" si="6"/>
        <v>44.596439481377288</v>
      </c>
    </row>
    <row r="39" spans="1:8" x14ac:dyDescent="0.15">
      <c r="A39" s="10">
        <f t="shared" si="3"/>
        <v>37</v>
      </c>
      <c r="B39" s="10" t="s">
        <v>52</v>
      </c>
      <c r="C39" s="11">
        <v>185198022</v>
      </c>
      <c r="D39" s="12">
        <v>132178219</v>
      </c>
      <c r="E39" s="11">
        <v>53607724</v>
      </c>
      <c r="F39" s="13">
        <f t="shared" si="4"/>
        <v>71.371290887761205</v>
      </c>
      <c r="G39" s="13">
        <f t="shared" si="5"/>
        <v>28.628709112238795</v>
      </c>
      <c r="H39" s="13">
        <f t="shared" si="6"/>
        <v>40.557154125370687</v>
      </c>
    </row>
    <row r="40" spans="1:8" x14ac:dyDescent="0.15">
      <c r="A40" s="10">
        <f t="shared" si="3"/>
        <v>38</v>
      </c>
      <c r="B40" s="10" t="s">
        <v>78</v>
      </c>
      <c r="C40" s="11">
        <v>177486613</v>
      </c>
      <c r="D40" s="12">
        <v>131883290</v>
      </c>
      <c r="E40" s="11">
        <v>48425202</v>
      </c>
      <c r="F40" s="13">
        <f t="shared" si="4"/>
        <v>74.306049211722808</v>
      </c>
      <c r="G40" s="13">
        <f t="shared" si="5"/>
        <v>25.693950788277192</v>
      </c>
      <c r="H40" s="13">
        <f t="shared" si="6"/>
        <v>36.71822412073584</v>
      </c>
    </row>
    <row r="41" spans="1:8" x14ac:dyDescent="0.15">
      <c r="A41" s="10">
        <f t="shared" si="3"/>
        <v>39</v>
      </c>
      <c r="B41" s="10" t="s">
        <v>131</v>
      </c>
      <c r="C41" s="11">
        <v>168870875</v>
      </c>
      <c r="D41" s="12">
        <v>118692835</v>
      </c>
      <c r="E41" s="11">
        <v>50766801</v>
      </c>
      <c r="F41" s="13">
        <f t="shared" si="4"/>
        <v>70.286149106528882</v>
      </c>
      <c r="G41" s="13">
        <f t="shared" si="5"/>
        <v>29.713850893471118</v>
      </c>
      <c r="H41" s="13">
        <f t="shared" si="6"/>
        <v>42.771580104224491</v>
      </c>
    </row>
    <row r="42" spans="1:8" x14ac:dyDescent="0.15">
      <c r="A42" s="10">
        <f t="shared" si="3"/>
        <v>40</v>
      </c>
      <c r="B42" s="10" t="s">
        <v>96</v>
      </c>
      <c r="C42" s="11">
        <v>167849423</v>
      </c>
      <c r="D42" s="12">
        <v>126424421</v>
      </c>
      <c r="E42" s="11">
        <v>43618369</v>
      </c>
      <c r="F42" s="13">
        <f t="shared" si="4"/>
        <v>75.320140361757453</v>
      </c>
      <c r="G42" s="13">
        <f t="shared" si="5"/>
        <v>24.679859638242547</v>
      </c>
      <c r="H42" s="13">
        <f t="shared" si="6"/>
        <v>34.501537483806231</v>
      </c>
    </row>
    <row r="43" spans="1:8" x14ac:dyDescent="0.15">
      <c r="A43" s="10">
        <f t="shared" si="3"/>
        <v>41</v>
      </c>
      <c r="B43" s="10" t="s">
        <v>88</v>
      </c>
      <c r="C43" s="11">
        <v>166242027</v>
      </c>
      <c r="D43" s="12">
        <v>125933542</v>
      </c>
      <c r="E43" s="11">
        <v>49723344</v>
      </c>
      <c r="F43" s="13">
        <f t="shared" si="4"/>
        <v>75.75313190809446</v>
      </c>
      <c r="G43" s="13">
        <f t="shared" si="5"/>
        <v>24.24686809190554</v>
      </c>
      <c r="H43" s="13">
        <f t="shared" si="6"/>
        <v>39.483796937911904</v>
      </c>
    </row>
    <row r="44" spans="1:8" x14ac:dyDescent="0.15">
      <c r="A44" s="10">
        <f t="shared" si="3"/>
        <v>42</v>
      </c>
      <c r="B44" s="10" t="s">
        <v>98</v>
      </c>
      <c r="C44" s="11">
        <v>165724590</v>
      </c>
      <c r="D44" s="12">
        <v>129530446</v>
      </c>
      <c r="E44" s="11">
        <v>43301252</v>
      </c>
      <c r="F44" s="13">
        <f t="shared" si="4"/>
        <v>78.160064236695348</v>
      </c>
      <c r="G44" s="13">
        <f t="shared" si="5"/>
        <v>21.839935763304652</v>
      </c>
      <c r="H44" s="13">
        <f t="shared" si="6"/>
        <v>33.429400837545174</v>
      </c>
    </row>
    <row r="45" spans="1:8" x14ac:dyDescent="0.15">
      <c r="A45" s="10">
        <f t="shared" si="3"/>
        <v>43</v>
      </c>
      <c r="B45" s="10" t="s">
        <v>33</v>
      </c>
      <c r="C45" s="11">
        <v>161810585</v>
      </c>
      <c r="D45" s="12">
        <v>113316639</v>
      </c>
      <c r="E45" s="11">
        <v>49215018</v>
      </c>
      <c r="F45" s="13">
        <f t="shared" si="4"/>
        <v>70.030424153030538</v>
      </c>
      <c r="G45" s="13">
        <f t="shared" si="5"/>
        <v>29.969575846969462</v>
      </c>
      <c r="H45" s="13">
        <f t="shared" si="6"/>
        <v>43.431413457294653</v>
      </c>
    </row>
    <row r="46" spans="1:8" x14ac:dyDescent="0.15">
      <c r="A46" s="10">
        <f t="shared" si="3"/>
        <v>44</v>
      </c>
      <c r="B46" s="10" t="s">
        <v>115</v>
      </c>
      <c r="C46" s="11">
        <v>157106312</v>
      </c>
      <c r="D46" s="12">
        <v>116968754</v>
      </c>
      <c r="E46" s="11">
        <v>45418828</v>
      </c>
      <c r="F46" s="13">
        <f t="shared" si="4"/>
        <v>74.451976187945903</v>
      </c>
      <c r="G46" s="13">
        <f t="shared" si="5"/>
        <v>25.548023812054097</v>
      </c>
      <c r="H46" s="13">
        <f t="shared" si="6"/>
        <v>38.82988101249672</v>
      </c>
    </row>
    <row r="47" spans="1:8" x14ac:dyDescent="0.15">
      <c r="A47" s="10">
        <f t="shared" si="3"/>
        <v>45</v>
      </c>
      <c r="B47" s="10" t="s">
        <v>13</v>
      </c>
      <c r="C47" s="11">
        <v>139814844</v>
      </c>
      <c r="D47" s="12">
        <v>106777422</v>
      </c>
      <c r="E47" s="11">
        <v>34453036</v>
      </c>
      <c r="F47" s="13">
        <f t="shared" si="4"/>
        <v>76.370590521847589</v>
      </c>
      <c r="G47" s="13">
        <f t="shared" si="5"/>
        <v>23.629409478152411</v>
      </c>
      <c r="H47" s="13">
        <f t="shared" si="6"/>
        <v>32.266218227295276</v>
      </c>
    </row>
    <row r="48" spans="1:8" x14ac:dyDescent="0.15">
      <c r="A48" s="10">
        <f t="shared" si="3"/>
        <v>46</v>
      </c>
      <c r="B48" s="10" t="s">
        <v>92</v>
      </c>
      <c r="C48" s="11">
        <v>139389020</v>
      </c>
      <c r="D48" s="12">
        <v>99206664</v>
      </c>
      <c r="E48" s="11">
        <v>40726143</v>
      </c>
      <c r="F48" s="13">
        <f t="shared" si="4"/>
        <v>71.172509857663101</v>
      </c>
      <c r="G48" s="13">
        <f t="shared" si="5"/>
        <v>28.827490142336899</v>
      </c>
      <c r="H48" s="13">
        <f t="shared" si="6"/>
        <v>41.051821881642951</v>
      </c>
    </row>
    <row r="49" spans="1:8" x14ac:dyDescent="0.15">
      <c r="A49" s="10">
        <f t="shared" si="3"/>
        <v>47</v>
      </c>
      <c r="B49" s="10" t="s">
        <v>59</v>
      </c>
      <c r="C49" s="11">
        <v>136243792</v>
      </c>
      <c r="D49" s="12">
        <v>98731986</v>
      </c>
      <c r="E49" s="11">
        <v>37686869</v>
      </c>
      <c r="F49" s="13">
        <f t="shared" si="4"/>
        <v>72.467144778236943</v>
      </c>
      <c r="G49" s="13">
        <f t="shared" si="5"/>
        <v>27.532855221763057</v>
      </c>
      <c r="H49" s="13">
        <f t="shared" si="6"/>
        <v>38.170881116480324</v>
      </c>
    </row>
    <row r="50" spans="1:8" x14ac:dyDescent="0.15">
      <c r="A50" s="10">
        <f t="shared" si="3"/>
        <v>48</v>
      </c>
      <c r="B50" s="10" t="s">
        <v>137</v>
      </c>
      <c r="C50" s="11">
        <v>135493989</v>
      </c>
      <c r="D50" s="12">
        <v>101765827</v>
      </c>
      <c r="E50" s="11">
        <v>37607803</v>
      </c>
      <c r="F50" s="13">
        <f t="shared" si="4"/>
        <v>75.107263245456593</v>
      </c>
      <c r="G50" s="13">
        <f t="shared" si="5"/>
        <v>24.892736754543407</v>
      </c>
      <c r="H50" s="13">
        <f t="shared" si="6"/>
        <v>36.9552374393813</v>
      </c>
    </row>
    <row r="51" spans="1:8" x14ac:dyDescent="0.15">
      <c r="A51" s="10">
        <f t="shared" si="3"/>
        <v>49</v>
      </c>
      <c r="B51" s="10" t="s">
        <v>124</v>
      </c>
      <c r="C51" s="11">
        <v>125408579</v>
      </c>
      <c r="D51" s="12">
        <v>92313249</v>
      </c>
      <c r="E51" s="11">
        <v>33837797</v>
      </c>
      <c r="F51" s="13">
        <f t="shared" si="4"/>
        <v>73.609995214123273</v>
      </c>
      <c r="G51" s="13">
        <f t="shared" si="5"/>
        <v>26.390004785876727</v>
      </c>
      <c r="H51" s="13">
        <f t="shared" si="6"/>
        <v>36.655406852812646</v>
      </c>
    </row>
    <row r="52" spans="1:8" x14ac:dyDescent="0.15">
      <c r="A52" s="10">
        <f t="shared" si="3"/>
        <v>50</v>
      </c>
      <c r="B52" s="10" t="s">
        <v>90</v>
      </c>
      <c r="C52" s="11">
        <v>123395260</v>
      </c>
      <c r="D52" s="12">
        <v>86211788</v>
      </c>
      <c r="E52" s="11">
        <v>38021676</v>
      </c>
      <c r="F52" s="13">
        <f t="shared" si="4"/>
        <v>69.866369259240585</v>
      </c>
      <c r="G52" s="13">
        <f t="shared" si="5"/>
        <v>30.133630740759415</v>
      </c>
      <c r="H52" s="13">
        <f t="shared" si="6"/>
        <v>44.102641740825511</v>
      </c>
    </row>
    <row r="53" spans="1:8" x14ac:dyDescent="0.15">
      <c r="A53" s="10">
        <f t="shared" si="3"/>
        <v>51</v>
      </c>
      <c r="B53" s="10" t="s">
        <v>123</v>
      </c>
      <c r="C53" s="11">
        <v>122058619</v>
      </c>
      <c r="D53" s="12">
        <v>85629267</v>
      </c>
      <c r="E53" s="11">
        <v>36606852</v>
      </c>
      <c r="F53" s="13">
        <f t="shared" si="4"/>
        <v>70.154215819859473</v>
      </c>
      <c r="G53" s="13">
        <f t="shared" si="5"/>
        <v>29.845784180140527</v>
      </c>
      <c r="H53" s="13">
        <f t="shared" si="6"/>
        <v>42.750397478002469</v>
      </c>
    </row>
    <row r="54" spans="1:8" x14ac:dyDescent="0.15">
      <c r="A54" s="10">
        <f t="shared" si="3"/>
        <v>52</v>
      </c>
      <c r="B54" s="10" t="s">
        <v>125</v>
      </c>
      <c r="C54" s="11">
        <v>119218642</v>
      </c>
      <c r="D54" s="12">
        <v>92567223</v>
      </c>
      <c r="E54" s="11">
        <v>26915071</v>
      </c>
      <c r="F54" s="13">
        <f t="shared" si="4"/>
        <v>77.644923182399609</v>
      </c>
      <c r="G54" s="13">
        <f t="shared" si="5"/>
        <v>22.355076817600391</v>
      </c>
      <c r="H54" s="13">
        <f t="shared" si="6"/>
        <v>29.076243326430998</v>
      </c>
    </row>
    <row r="55" spans="1:8" x14ac:dyDescent="0.15">
      <c r="A55" s="10">
        <f t="shared" si="3"/>
        <v>53</v>
      </c>
      <c r="B55" s="10" t="s">
        <v>43</v>
      </c>
      <c r="C55" s="11">
        <v>114242587</v>
      </c>
      <c r="D55" s="12">
        <v>87213231</v>
      </c>
      <c r="E55" s="11">
        <v>29510995</v>
      </c>
      <c r="F55" s="13">
        <f t="shared" si="4"/>
        <v>76.340385219042702</v>
      </c>
      <c r="G55" s="13">
        <f t="shared" si="5"/>
        <v>23.659614780957298</v>
      </c>
      <c r="H55" s="13">
        <f t="shared" si="6"/>
        <v>33.837749916638224</v>
      </c>
    </row>
    <row r="56" spans="1:8" x14ac:dyDescent="0.15">
      <c r="A56" s="10">
        <f t="shared" si="3"/>
        <v>54</v>
      </c>
      <c r="B56" s="10" t="s">
        <v>122</v>
      </c>
      <c r="C56" s="11">
        <v>113320987</v>
      </c>
      <c r="D56" s="12">
        <v>87452600</v>
      </c>
      <c r="E56" s="11">
        <v>26855492</v>
      </c>
      <c r="F56" s="13">
        <f t="shared" si="4"/>
        <v>77.172465855773041</v>
      </c>
      <c r="G56" s="13">
        <f t="shared" si="5"/>
        <v>22.827534144226959</v>
      </c>
      <c r="H56" s="13">
        <f t="shared" si="6"/>
        <v>30.708626158627645</v>
      </c>
    </row>
    <row r="57" spans="1:8" x14ac:dyDescent="0.15">
      <c r="A57" s="10">
        <f t="shared" si="3"/>
        <v>55</v>
      </c>
      <c r="B57" s="10" t="s">
        <v>94</v>
      </c>
      <c r="C57" s="11">
        <v>111997666</v>
      </c>
      <c r="D57" s="12">
        <v>81277302</v>
      </c>
      <c r="E57" s="11">
        <v>31517322</v>
      </c>
      <c r="F57" s="13">
        <f t="shared" si="4"/>
        <v>72.570531960907118</v>
      </c>
      <c r="G57" s="13">
        <f t="shared" si="5"/>
        <v>27.429468039092882</v>
      </c>
      <c r="H57" s="13">
        <f t="shared" si="6"/>
        <v>38.777519952618505</v>
      </c>
    </row>
    <row r="58" spans="1:8" x14ac:dyDescent="0.15">
      <c r="A58" s="10">
        <f t="shared" si="3"/>
        <v>56</v>
      </c>
      <c r="B58" s="10" t="s">
        <v>42</v>
      </c>
      <c r="C58" s="11">
        <v>107523091</v>
      </c>
      <c r="D58" s="12">
        <v>81208353</v>
      </c>
      <c r="E58" s="11">
        <v>26897928</v>
      </c>
      <c r="F58" s="13">
        <f t="shared" si="4"/>
        <v>75.526430876136175</v>
      </c>
      <c r="G58" s="13">
        <f t="shared" si="5"/>
        <v>24.473569123863825</v>
      </c>
      <c r="H58" s="13">
        <f t="shared" si="6"/>
        <v>33.122119839076163</v>
      </c>
    </row>
    <row r="59" spans="1:8" x14ac:dyDescent="0.15">
      <c r="A59" s="10">
        <f t="shared" si="3"/>
        <v>57</v>
      </c>
      <c r="B59" s="10" t="s">
        <v>75</v>
      </c>
      <c r="C59" s="11">
        <v>103120771</v>
      </c>
      <c r="D59" s="12">
        <v>75134384</v>
      </c>
      <c r="E59" s="11">
        <v>28219762</v>
      </c>
      <c r="F59" s="13">
        <f t="shared" si="4"/>
        <v>72.860572386527252</v>
      </c>
      <c r="G59" s="13">
        <f t="shared" si="5"/>
        <v>27.139427613472748</v>
      </c>
      <c r="H59" s="13">
        <f t="shared" si="6"/>
        <v>37.55905152559712</v>
      </c>
    </row>
    <row r="60" spans="1:8" x14ac:dyDescent="0.15">
      <c r="A60" s="10">
        <f t="shared" si="3"/>
        <v>58</v>
      </c>
      <c r="B60" s="10" t="s">
        <v>93</v>
      </c>
      <c r="C60" s="11">
        <v>94000120</v>
      </c>
      <c r="D60" s="12">
        <v>69585223</v>
      </c>
      <c r="E60" s="11">
        <v>25368377</v>
      </c>
      <c r="F60" s="13">
        <f t="shared" si="4"/>
        <v>74.026738476504079</v>
      </c>
      <c r="G60" s="13">
        <f t="shared" si="5"/>
        <v>25.973261523495921</v>
      </c>
      <c r="H60" s="13">
        <f t="shared" si="6"/>
        <v>36.456557737840406</v>
      </c>
    </row>
    <row r="61" spans="1:8" x14ac:dyDescent="0.15">
      <c r="A61" s="10">
        <f t="shared" si="3"/>
        <v>59</v>
      </c>
      <c r="B61" s="10" t="s">
        <v>85</v>
      </c>
      <c r="C61" s="11">
        <v>87373849</v>
      </c>
      <c r="D61" s="12">
        <v>67721230</v>
      </c>
      <c r="E61" s="11">
        <v>22579983</v>
      </c>
      <c r="F61" s="13">
        <f t="shared" si="4"/>
        <v>77.507435891945192</v>
      </c>
      <c r="G61" s="13">
        <f t="shared" si="5"/>
        <v>22.492564108054808</v>
      </c>
      <c r="H61" s="13">
        <f t="shared" si="6"/>
        <v>33.342547086046721</v>
      </c>
    </row>
    <row r="62" spans="1:8" x14ac:dyDescent="0.15">
      <c r="A62" s="10">
        <f t="shared" si="3"/>
        <v>60</v>
      </c>
      <c r="B62" s="10" t="s">
        <v>135</v>
      </c>
      <c r="C62" s="11">
        <v>83779241</v>
      </c>
      <c r="D62" s="12">
        <v>61681101</v>
      </c>
      <c r="E62" s="11">
        <v>23122941</v>
      </c>
      <c r="F62" s="13">
        <f t="shared" si="4"/>
        <v>73.623370495800984</v>
      </c>
      <c r="G62" s="13">
        <f t="shared" si="5"/>
        <v>26.376629504199016</v>
      </c>
      <c r="H62" s="13">
        <f t="shared" si="6"/>
        <v>37.487886281407334</v>
      </c>
    </row>
    <row r="63" spans="1:8" x14ac:dyDescent="0.15">
      <c r="A63" s="10">
        <f t="shared" si="3"/>
        <v>61</v>
      </c>
      <c r="B63" s="10" t="s">
        <v>55</v>
      </c>
      <c r="C63" s="11">
        <v>76287239</v>
      </c>
      <c r="D63" s="12">
        <v>52854783</v>
      </c>
      <c r="E63" s="11">
        <v>24974204</v>
      </c>
      <c r="F63" s="13">
        <f t="shared" si="4"/>
        <v>69.283911297405851</v>
      </c>
      <c r="G63" s="13">
        <f t="shared" si="5"/>
        <v>30.716088702594149</v>
      </c>
      <c r="H63" s="13">
        <f t="shared" si="6"/>
        <v>47.250603601948377</v>
      </c>
    </row>
    <row r="64" spans="1:8" x14ac:dyDescent="0.15">
      <c r="A64" s="10">
        <f t="shared" si="3"/>
        <v>62</v>
      </c>
      <c r="B64" s="10" t="s">
        <v>14</v>
      </c>
      <c r="C64" s="11">
        <v>75053181</v>
      </c>
      <c r="D64" s="12">
        <v>55132342</v>
      </c>
      <c r="E64" s="11">
        <v>20421425</v>
      </c>
      <c r="F64" s="13">
        <f t="shared" si="4"/>
        <v>73.457701946037432</v>
      </c>
      <c r="G64" s="13">
        <f t="shared" si="5"/>
        <v>26.542298053962568</v>
      </c>
      <c r="H64" s="13">
        <f t="shared" si="6"/>
        <v>37.040735545027275</v>
      </c>
    </row>
    <row r="65" spans="1:8" x14ac:dyDescent="0.15">
      <c r="A65" s="10">
        <f t="shared" si="3"/>
        <v>63</v>
      </c>
      <c r="B65" s="10" t="s">
        <v>104</v>
      </c>
      <c r="C65" s="11">
        <v>74709217</v>
      </c>
      <c r="D65" s="12">
        <v>53768990</v>
      </c>
      <c r="E65" s="11">
        <v>21802669</v>
      </c>
      <c r="F65" s="13">
        <f t="shared" si="4"/>
        <v>71.971026011422396</v>
      </c>
      <c r="G65" s="13">
        <f t="shared" si="5"/>
        <v>28.028973988577604</v>
      </c>
      <c r="H65" s="13">
        <f t="shared" si="6"/>
        <v>40.548779138310017</v>
      </c>
    </row>
    <row r="66" spans="1:8" x14ac:dyDescent="0.15">
      <c r="A66" s="10">
        <f t="shared" si="3"/>
        <v>64</v>
      </c>
      <c r="B66" s="14" t="s">
        <v>11</v>
      </c>
      <c r="C66" s="15">
        <v>71884407</v>
      </c>
      <c r="D66" s="16">
        <v>49903708</v>
      </c>
      <c r="E66" s="15">
        <v>22469872</v>
      </c>
      <c r="F66" s="13">
        <f t="shared" si="4"/>
        <v>69.422159940750433</v>
      </c>
      <c r="G66" s="13">
        <f t="shared" si="5"/>
        <v>30.577840059249567</v>
      </c>
      <c r="H66" s="13">
        <f t="shared" si="6"/>
        <v>45.026457753399811</v>
      </c>
    </row>
    <row r="67" spans="1:8" x14ac:dyDescent="0.15">
      <c r="A67" s="10">
        <f t="shared" si="3"/>
        <v>65</v>
      </c>
      <c r="B67" s="10" t="s">
        <v>70</v>
      </c>
      <c r="C67" s="11">
        <v>71705247</v>
      </c>
      <c r="D67" s="12">
        <v>50307944</v>
      </c>
      <c r="E67" s="11">
        <v>21573880</v>
      </c>
      <c r="F67" s="13">
        <f t="shared" ref="F67:F98" si="7">100*D67/C67</f>
        <v>70.159362256990761</v>
      </c>
      <c r="G67" s="13">
        <f t="shared" ref="G67:G98" si="8">100-F67</f>
        <v>29.840637743009239</v>
      </c>
      <c r="H67" s="13">
        <f t="shared" ref="H67:H98" si="9">100*E67/D67</f>
        <v>42.883644777850591</v>
      </c>
    </row>
    <row r="68" spans="1:8" x14ac:dyDescent="0.15">
      <c r="A68" s="10">
        <f t="shared" si="3"/>
        <v>66</v>
      </c>
      <c r="B68" s="10" t="s">
        <v>119</v>
      </c>
      <c r="C68" s="11">
        <v>68745664</v>
      </c>
      <c r="D68" s="12">
        <v>63526040</v>
      </c>
      <c r="E68" s="11">
        <v>16038790</v>
      </c>
      <c r="F68" s="13">
        <f t="shared" si="7"/>
        <v>92.407340774248681</v>
      </c>
      <c r="G68" s="13">
        <f t="shared" si="8"/>
        <v>7.5926592257513192</v>
      </c>
      <c r="H68" s="13">
        <f t="shared" si="9"/>
        <v>25.247583510635952</v>
      </c>
    </row>
    <row r="69" spans="1:8" x14ac:dyDescent="0.15">
      <c r="A69" s="10">
        <f t="shared" ref="A69:A132" si="10">1+A68</f>
        <v>67</v>
      </c>
      <c r="B69" s="10" t="s">
        <v>21</v>
      </c>
      <c r="C69" s="11">
        <v>68028025</v>
      </c>
      <c r="D69" s="12">
        <v>47085577</v>
      </c>
      <c r="E69" s="11">
        <v>22241820</v>
      </c>
      <c r="F69" s="13">
        <f t="shared" si="7"/>
        <v>69.214969859848196</v>
      </c>
      <c r="G69" s="13">
        <f t="shared" si="8"/>
        <v>30.785030140151804</v>
      </c>
      <c r="H69" s="13">
        <f t="shared" si="9"/>
        <v>47.237012726848391</v>
      </c>
    </row>
    <row r="70" spans="1:8" x14ac:dyDescent="0.15">
      <c r="A70" s="10">
        <f t="shared" si="10"/>
        <v>68</v>
      </c>
      <c r="B70" s="10" t="s">
        <v>152</v>
      </c>
      <c r="C70" s="11">
        <v>65486391</v>
      </c>
      <c r="D70" s="12">
        <v>47403687</v>
      </c>
      <c r="E70" s="11">
        <v>18082704</v>
      </c>
      <c r="F70" s="13">
        <f t="shared" si="7"/>
        <v>72.38708115706055</v>
      </c>
      <c r="G70" s="13">
        <f t="shared" si="8"/>
        <v>27.61291884293945</v>
      </c>
      <c r="H70" s="13">
        <f t="shared" si="9"/>
        <v>38.14619736224315</v>
      </c>
    </row>
    <row r="71" spans="1:8" x14ac:dyDescent="0.15">
      <c r="A71" s="10">
        <f t="shared" si="10"/>
        <v>69</v>
      </c>
      <c r="B71" s="10" t="s">
        <v>111</v>
      </c>
      <c r="C71" s="11">
        <v>65379802</v>
      </c>
      <c r="D71" s="12">
        <v>50106346</v>
      </c>
      <c r="E71" s="11">
        <v>15463219</v>
      </c>
      <c r="F71" s="13">
        <f t="shared" si="7"/>
        <v>76.638876942453876</v>
      </c>
      <c r="G71" s="13">
        <f t="shared" si="8"/>
        <v>23.361123057546124</v>
      </c>
      <c r="H71" s="13">
        <f t="shared" si="9"/>
        <v>30.86079954822489</v>
      </c>
    </row>
    <row r="72" spans="1:8" x14ac:dyDescent="0.15">
      <c r="A72" s="10">
        <f t="shared" si="10"/>
        <v>70</v>
      </c>
      <c r="B72" s="10" t="s">
        <v>148</v>
      </c>
      <c r="C72" s="11">
        <v>61616013</v>
      </c>
      <c r="D72" s="12">
        <v>46055622</v>
      </c>
      <c r="E72" s="11">
        <v>15610764</v>
      </c>
      <c r="F72" s="13">
        <f t="shared" si="7"/>
        <v>74.746189760768843</v>
      </c>
      <c r="G72" s="13">
        <f t="shared" si="8"/>
        <v>25.253810239231157</v>
      </c>
      <c r="H72" s="13">
        <f t="shared" si="9"/>
        <v>33.895457974707192</v>
      </c>
    </row>
    <row r="73" spans="1:8" x14ac:dyDescent="0.15">
      <c r="A73" s="10">
        <f t="shared" si="10"/>
        <v>71</v>
      </c>
      <c r="B73" s="10" t="s">
        <v>64</v>
      </c>
      <c r="C73" s="11">
        <v>61578387</v>
      </c>
      <c r="D73" s="12">
        <v>42420801</v>
      </c>
      <c r="E73" s="11">
        <v>19379689</v>
      </c>
      <c r="F73" s="13">
        <f t="shared" si="7"/>
        <v>68.889107147285301</v>
      </c>
      <c r="G73" s="13">
        <f t="shared" si="8"/>
        <v>31.110892852714699</v>
      </c>
      <c r="H73" s="13">
        <f t="shared" si="9"/>
        <v>45.684401386008716</v>
      </c>
    </row>
    <row r="74" spans="1:8" x14ac:dyDescent="0.15">
      <c r="A74" s="10">
        <f t="shared" si="10"/>
        <v>72</v>
      </c>
      <c r="B74" s="10" t="s">
        <v>58</v>
      </c>
      <c r="C74" s="11">
        <v>60254549</v>
      </c>
      <c r="D74" s="12">
        <v>44468183</v>
      </c>
      <c r="E74" s="11">
        <v>15786366</v>
      </c>
      <c r="F74" s="13">
        <f t="shared" si="7"/>
        <v>73.800540769129313</v>
      </c>
      <c r="G74" s="13">
        <f t="shared" si="8"/>
        <v>26.199459230870687</v>
      </c>
      <c r="H74" s="13">
        <f t="shared" si="9"/>
        <v>35.500362135327187</v>
      </c>
    </row>
    <row r="75" spans="1:8" x14ac:dyDescent="0.15">
      <c r="A75" s="10">
        <f t="shared" si="10"/>
        <v>73</v>
      </c>
      <c r="B75" s="10" t="s">
        <v>140</v>
      </c>
      <c r="C75" s="11">
        <v>57864645</v>
      </c>
      <c r="D75" s="12">
        <v>41090751</v>
      </c>
      <c r="E75" s="11">
        <v>16934018</v>
      </c>
      <c r="F75" s="13">
        <f t="shared" si="7"/>
        <v>71.01184324210405</v>
      </c>
      <c r="G75" s="13">
        <f t="shared" si="8"/>
        <v>28.98815675789595</v>
      </c>
      <c r="H75" s="13">
        <f t="shared" si="9"/>
        <v>41.211264306169532</v>
      </c>
    </row>
    <row r="76" spans="1:8" x14ac:dyDescent="0.15">
      <c r="A76" s="10">
        <f t="shared" si="10"/>
        <v>74</v>
      </c>
      <c r="B76" s="10" t="s">
        <v>76</v>
      </c>
      <c r="C76" s="11">
        <v>57017452</v>
      </c>
      <c r="D76" s="12">
        <v>41910702</v>
      </c>
      <c r="E76" s="11">
        <v>15688681</v>
      </c>
      <c r="F76" s="13">
        <f t="shared" si="7"/>
        <v>73.505041929969096</v>
      </c>
      <c r="G76" s="13">
        <f t="shared" si="8"/>
        <v>26.494958070030904</v>
      </c>
      <c r="H76" s="13">
        <f t="shared" si="9"/>
        <v>37.433591544231355</v>
      </c>
    </row>
    <row r="77" spans="1:8" x14ac:dyDescent="0.15">
      <c r="A77" s="10">
        <f t="shared" si="10"/>
        <v>75</v>
      </c>
      <c r="B77" s="10" t="s">
        <v>95</v>
      </c>
      <c r="C77" s="11">
        <v>54230457</v>
      </c>
      <c r="D77" s="12">
        <v>38651086</v>
      </c>
      <c r="E77" s="11">
        <v>17279929</v>
      </c>
      <c r="F77" s="13">
        <f t="shared" si="7"/>
        <v>71.271916443558638</v>
      </c>
      <c r="G77" s="13">
        <f t="shared" si="8"/>
        <v>28.728083556441362</v>
      </c>
      <c r="H77" s="13">
        <f t="shared" si="9"/>
        <v>44.707486356269527</v>
      </c>
    </row>
    <row r="78" spans="1:8" x14ac:dyDescent="0.15">
      <c r="A78" s="10">
        <f t="shared" si="10"/>
        <v>76</v>
      </c>
      <c r="B78" s="10" t="s">
        <v>87</v>
      </c>
      <c r="C78" s="11">
        <v>51248830</v>
      </c>
      <c r="D78" s="12">
        <v>34892583</v>
      </c>
      <c r="E78" s="11">
        <v>16429362</v>
      </c>
      <c r="F78" s="13">
        <f t="shared" si="7"/>
        <v>68.084643103071812</v>
      </c>
      <c r="G78" s="13">
        <f t="shared" si="8"/>
        <v>31.915356896928188</v>
      </c>
      <c r="H78" s="13">
        <f t="shared" si="9"/>
        <v>47.085542506268453</v>
      </c>
    </row>
    <row r="79" spans="1:8" x14ac:dyDescent="0.15">
      <c r="A79" s="10">
        <f t="shared" si="10"/>
        <v>77</v>
      </c>
      <c r="B79" s="10" t="s">
        <v>71</v>
      </c>
      <c r="C79" s="11">
        <v>49814115</v>
      </c>
      <c r="D79" s="12">
        <v>38782767</v>
      </c>
      <c r="E79" s="11">
        <v>11041826</v>
      </c>
      <c r="F79" s="13">
        <f t="shared" si="7"/>
        <v>77.854975442201479</v>
      </c>
      <c r="G79" s="13">
        <f t="shared" si="8"/>
        <v>22.145024557798521</v>
      </c>
      <c r="H79" s="13">
        <f t="shared" si="9"/>
        <v>28.470959795106936</v>
      </c>
    </row>
    <row r="80" spans="1:8" x14ac:dyDescent="0.15">
      <c r="A80" s="10">
        <f t="shared" si="10"/>
        <v>78</v>
      </c>
      <c r="B80" s="10" t="s">
        <v>107</v>
      </c>
      <c r="C80" s="11">
        <v>48613028</v>
      </c>
      <c r="D80" s="12">
        <v>35535730</v>
      </c>
      <c r="E80" s="11">
        <v>13392829</v>
      </c>
      <c r="F80" s="13">
        <f t="shared" si="7"/>
        <v>73.099190612030995</v>
      </c>
      <c r="G80" s="13">
        <f t="shared" si="8"/>
        <v>26.900809387969005</v>
      </c>
      <c r="H80" s="13">
        <f t="shared" si="9"/>
        <v>37.688346348871967</v>
      </c>
    </row>
    <row r="81" spans="1:8" x14ac:dyDescent="0.15">
      <c r="A81" s="10">
        <f t="shared" si="10"/>
        <v>79</v>
      </c>
      <c r="B81" s="10" t="s">
        <v>66</v>
      </c>
      <c r="C81" s="11">
        <v>43254729</v>
      </c>
      <c r="D81" s="12">
        <v>30899228</v>
      </c>
      <c r="E81" s="11">
        <v>13090777</v>
      </c>
      <c r="F81" s="13">
        <f t="shared" si="7"/>
        <v>71.435490903202748</v>
      </c>
      <c r="G81" s="13">
        <f t="shared" si="8"/>
        <v>28.564509096797252</v>
      </c>
      <c r="H81" s="13">
        <f t="shared" si="9"/>
        <v>42.366032575312239</v>
      </c>
    </row>
    <row r="82" spans="1:8" x14ac:dyDescent="0.15">
      <c r="A82" s="10">
        <f t="shared" si="10"/>
        <v>80</v>
      </c>
      <c r="B82" s="14" t="s">
        <v>130</v>
      </c>
      <c r="C82" s="11">
        <v>42320350</v>
      </c>
      <c r="D82" s="12">
        <v>30713869</v>
      </c>
      <c r="E82" s="11">
        <v>12048895</v>
      </c>
      <c r="F82" s="13">
        <f t="shared" si="7"/>
        <v>72.574704604286111</v>
      </c>
      <c r="G82" s="13">
        <f t="shared" si="8"/>
        <v>27.425295395713889</v>
      </c>
      <c r="H82" s="13">
        <f t="shared" si="9"/>
        <v>39.229492708977823</v>
      </c>
    </row>
    <row r="83" spans="1:8" x14ac:dyDescent="0.15">
      <c r="A83" s="10">
        <f t="shared" si="10"/>
        <v>81</v>
      </c>
      <c r="B83" s="10" t="s">
        <v>63</v>
      </c>
      <c r="C83" s="11">
        <v>41927622</v>
      </c>
      <c r="D83" s="12">
        <v>30401773</v>
      </c>
      <c r="E83" s="11">
        <v>12674509</v>
      </c>
      <c r="F83" s="13">
        <f t="shared" si="7"/>
        <v>72.510129479797357</v>
      </c>
      <c r="G83" s="13">
        <f t="shared" si="8"/>
        <v>27.489870520202643</v>
      </c>
      <c r="H83" s="13">
        <f t="shared" si="9"/>
        <v>41.690032354363019</v>
      </c>
    </row>
    <row r="84" spans="1:8" x14ac:dyDescent="0.15">
      <c r="A84" s="10">
        <f t="shared" si="10"/>
        <v>82</v>
      </c>
      <c r="B84" s="10" t="s">
        <v>32</v>
      </c>
      <c r="C84" s="11">
        <v>40696879</v>
      </c>
      <c r="D84" s="12">
        <v>31227882</v>
      </c>
      <c r="E84" s="11">
        <v>9934427</v>
      </c>
      <c r="F84" s="13">
        <f t="shared" si="7"/>
        <v>76.732866910998254</v>
      </c>
      <c r="G84" s="13">
        <f t="shared" si="8"/>
        <v>23.267133089001746</v>
      </c>
      <c r="H84" s="13">
        <f t="shared" si="9"/>
        <v>31.812682653277605</v>
      </c>
    </row>
    <row r="85" spans="1:8" x14ac:dyDescent="0.15">
      <c r="A85" s="10">
        <f t="shared" si="10"/>
        <v>83</v>
      </c>
      <c r="B85" s="10" t="s">
        <v>31</v>
      </c>
      <c r="C85" s="11">
        <v>37590264</v>
      </c>
      <c r="D85" s="12">
        <v>28737693</v>
      </c>
      <c r="E85" s="11">
        <v>9386563</v>
      </c>
      <c r="F85" s="13">
        <f t="shared" si="7"/>
        <v>76.449830200713677</v>
      </c>
      <c r="G85" s="13">
        <f t="shared" si="8"/>
        <v>23.550169799286323</v>
      </c>
      <c r="H85" s="13">
        <f t="shared" si="9"/>
        <v>32.66289677462975</v>
      </c>
    </row>
    <row r="86" spans="1:8" x14ac:dyDescent="0.15">
      <c r="A86" s="10">
        <f t="shared" si="10"/>
        <v>84</v>
      </c>
      <c r="B86" s="10" t="s">
        <v>121</v>
      </c>
      <c r="C86" s="11">
        <v>36704641</v>
      </c>
      <c r="D86" s="12">
        <v>25625904</v>
      </c>
      <c r="E86" s="11">
        <v>11104626</v>
      </c>
      <c r="F86" s="13">
        <f t="shared" si="7"/>
        <v>69.816522657175696</v>
      </c>
      <c r="G86" s="13">
        <f t="shared" si="8"/>
        <v>30.183477342824304</v>
      </c>
      <c r="H86" s="13">
        <f t="shared" si="9"/>
        <v>43.33359712890519</v>
      </c>
    </row>
    <row r="87" spans="1:8" x14ac:dyDescent="0.15">
      <c r="A87" s="10">
        <f t="shared" si="10"/>
        <v>85</v>
      </c>
      <c r="B87" s="10" t="s">
        <v>141</v>
      </c>
      <c r="C87" s="11">
        <v>33457789</v>
      </c>
      <c r="D87" s="12">
        <v>24879415</v>
      </c>
      <c r="E87" s="11">
        <v>8586954</v>
      </c>
      <c r="F87" s="13">
        <f t="shared" si="7"/>
        <v>74.360607032341562</v>
      </c>
      <c r="G87" s="13">
        <f t="shared" si="8"/>
        <v>25.639392967658438</v>
      </c>
      <c r="H87" s="13">
        <f t="shared" si="9"/>
        <v>34.514292237176797</v>
      </c>
    </row>
    <row r="88" spans="1:8" x14ac:dyDescent="0.15">
      <c r="A88" s="10">
        <f t="shared" si="10"/>
        <v>86</v>
      </c>
      <c r="B88" s="10" t="s">
        <v>102</v>
      </c>
      <c r="C88" s="11">
        <v>32491137</v>
      </c>
      <c r="D88" s="12">
        <v>23327283</v>
      </c>
      <c r="E88" s="11">
        <v>9560177</v>
      </c>
      <c r="F88" s="13">
        <f t="shared" si="7"/>
        <v>71.795834661003084</v>
      </c>
      <c r="G88" s="13">
        <f t="shared" si="8"/>
        <v>28.204165338996916</v>
      </c>
      <c r="H88" s="13">
        <f t="shared" si="9"/>
        <v>40.982813986523851</v>
      </c>
    </row>
    <row r="89" spans="1:8" x14ac:dyDescent="0.15">
      <c r="A89" s="10">
        <f t="shared" si="10"/>
        <v>87</v>
      </c>
      <c r="B89" s="10" t="s">
        <v>89</v>
      </c>
      <c r="C89" s="11">
        <v>30240195</v>
      </c>
      <c r="D89" s="12">
        <v>23964004</v>
      </c>
      <c r="E89" s="11">
        <v>9598947</v>
      </c>
      <c r="F89" s="13">
        <f t="shared" si="7"/>
        <v>79.245533965637463</v>
      </c>
      <c r="G89" s="13">
        <f t="shared" si="8"/>
        <v>20.754466034362537</v>
      </c>
      <c r="H89" s="13">
        <f t="shared" si="9"/>
        <v>40.055689358088905</v>
      </c>
    </row>
    <row r="90" spans="1:8" x14ac:dyDescent="0.15">
      <c r="A90" s="10">
        <f t="shared" si="10"/>
        <v>88</v>
      </c>
      <c r="B90" s="10" t="s">
        <v>46</v>
      </c>
      <c r="C90" s="11">
        <v>28136670</v>
      </c>
      <c r="D90" s="12">
        <v>22229375</v>
      </c>
      <c r="E90" s="11">
        <v>6250885</v>
      </c>
      <c r="F90" s="13">
        <f t="shared" si="7"/>
        <v>79.004995971449361</v>
      </c>
      <c r="G90" s="13">
        <f t="shared" si="8"/>
        <v>20.995004028550639</v>
      </c>
      <c r="H90" s="13">
        <f t="shared" si="9"/>
        <v>28.119931397081565</v>
      </c>
    </row>
    <row r="91" spans="1:8" x14ac:dyDescent="0.15">
      <c r="A91" s="10">
        <f t="shared" si="10"/>
        <v>89</v>
      </c>
      <c r="B91" s="10" t="s">
        <v>101</v>
      </c>
      <c r="C91" s="11">
        <v>27663359</v>
      </c>
      <c r="D91" s="12">
        <v>19508441</v>
      </c>
      <c r="E91" s="11">
        <v>8154918</v>
      </c>
      <c r="F91" s="13">
        <f t="shared" si="7"/>
        <v>70.520868416593956</v>
      </c>
      <c r="G91" s="13">
        <f t="shared" si="8"/>
        <v>29.479131583406044</v>
      </c>
      <c r="H91" s="13">
        <f t="shared" si="9"/>
        <v>41.801997402047654</v>
      </c>
    </row>
    <row r="92" spans="1:8" x14ac:dyDescent="0.15">
      <c r="A92" s="10">
        <f t="shared" si="10"/>
        <v>90</v>
      </c>
      <c r="B92" s="10" t="s">
        <v>67</v>
      </c>
      <c r="C92" s="11">
        <v>26251813</v>
      </c>
      <c r="D92" s="12">
        <v>18870541</v>
      </c>
      <c r="E92" s="11">
        <v>7381272</v>
      </c>
      <c r="F92" s="13">
        <f t="shared" si="7"/>
        <v>71.882810531981164</v>
      </c>
      <c r="G92" s="13">
        <f t="shared" si="8"/>
        <v>28.117189468018836</v>
      </c>
      <c r="H92" s="13">
        <f t="shared" si="9"/>
        <v>39.115317361595515</v>
      </c>
    </row>
    <row r="93" spans="1:8" x14ac:dyDescent="0.15">
      <c r="A93" s="10">
        <f t="shared" si="10"/>
        <v>91</v>
      </c>
      <c r="B93" s="10" t="s">
        <v>156</v>
      </c>
      <c r="C93" s="11">
        <v>25337855</v>
      </c>
      <c r="D93" s="12">
        <v>17307528</v>
      </c>
      <c r="E93" s="11">
        <v>8090881</v>
      </c>
      <c r="F93" s="13">
        <f t="shared" si="7"/>
        <v>68.306997573393645</v>
      </c>
      <c r="G93" s="13">
        <f t="shared" si="8"/>
        <v>31.693002426606355</v>
      </c>
      <c r="H93" s="13">
        <f t="shared" si="9"/>
        <v>46.747756236476981</v>
      </c>
    </row>
    <row r="94" spans="1:8" x14ac:dyDescent="0.15">
      <c r="A94" s="10">
        <f t="shared" si="10"/>
        <v>92</v>
      </c>
      <c r="B94" s="10" t="s">
        <v>114</v>
      </c>
      <c r="C94" s="11">
        <v>23275956</v>
      </c>
      <c r="D94" s="12">
        <v>19659454</v>
      </c>
      <c r="E94" s="11">
        <v>4926752</v>
      </c>
      <c r="F94" s="13">
        <f t="shared" si="7"/>
        <v>84.46249855430213</v>
      </c>
      <c r="G94" s="13">
        <f t="shared" si="8"/>
        <v>15.53750144569787</v>
      </c>
      <c r="H94" s="13">
        <f t="shared" si="9"/>
        <v>25.060472177915013</v>
      </c>
    </row>
    <row r="95" spans="1:8" x14ac:dyDescent="0.15">
      <c r="A95" s="10">
        <f t="shared" si="10"/>
        <v>93</v>
      </c>
      <c r="B95" s="10" t="s">
        <v>60</v>
      </c>
      <c r="C95" s="11">
        <v>21688915</v>
      </c>
      <c r="D95" s="12">
        <v>15995610</v>
      </c>
      <c r="E95" s="11">
        <v>5950402</v>
      </c>
      <c r="F95" s="13">
        <f t="shared" si="7"/>
        <v>73.750162237253448</v>
      </c>
      <c r="G95" s="13">
        <f t="shared" si="8"/>
        <v>26.249837762746552</v>
      </c>
      <c r="H95" s="13">
        <f t="shared" si="9"/>
        <v>37.200219310173232</v>
      </c>
    </row>
    <row r="96" spans="1:8" x14ac:dyDescent="0.15">
      <c r="A96" s="10">
        <f t="shared" si="10"/>
        <v>94</v>
      </c>
      <c r="B96" s="10" t="s">
        <v>22</v>
      </c>
      <c r="C96" s="11">
        <v>21138036</v>
      </c>
      <c r="D96" s="12">
        <v>15464779</v>
      </c>
      <c r="E96" s="11">
        <v>5683253</v>
      </c>
      <c r="F96" s="13">
        <f t="shared" si="7"/>
        <v>73.160907664269288</v>
      </c>
      <c r="G96" s="13">
        <f t="shared" si="8"/>
        <v>26.839092335730712</v>
      </c>
      <c r="H96" s="13">
        <f t="shared" si="9"/>
        <v>36.749655459027252</v>
      </c>
    </row>
    <row r="97" spans="1:8" x14ac:dyDescent="0.15">
      <c r="A97" s="10">
        <f t="shared" si="10"/>
        <v>95</v>
      </c>
      <c r="B97" s="10" t="s">
        <v>65</v>
      </c>
      <c r="C97" s="11">
        <v>20981573</v>
      </c>
      <c r="D97" s="12">
        <v>16912394</v>
      </c>
      <c r="E97" s="11">
        <v>4069179</v>
      </c>
      <c r="F97" s="13">
        <f t="shared" si="7"/>
        <v>80.605939316370609</v>
      </c>
      <c r="G97" s="13">
        <f t="shared" si="8"/>
        <v>19.394060683629391</v>
      </c>
      <c r="H97" s="13">
        <f t="shared" si="9"/>
        <v>24.060337052223357</v>
      </c>
    </row>
    <row r="98" spans="1:8" x14ac:dyDescent="0.15">
      <c r="A98" s="10">
        <f t="shared" si="10"/>
        <v>96</v>
      </c>
      <c r="B98" s="10" t="s">
        <v>37</v>
      </c>
      <c r="C98" s="11">
        <v>19299396</v>
      </c>
      <c r="D98" s="12">
        <v>15156006</v>
      </c>
      <c r="E98" s="11">
        <v>4576662</v>
      </c>
      <c r="F98" s="13">
        <f t="shared" si="7"/>
        <v>78.530986151069186</v>
      </c>
      <c r="G98" s="13">
        <f t="shared" si="8"/>
        <v>21.469013848930814</v>
      </c>
      <c r="H98" s="13">
        <f t="shared" si="9"/>
        <v>30.197018924378892</v>
      </c>
    </row>
    <row r="99" spans="1:8" x14ac:dyDescent="0.15">
      <c r="A99" s="10">
        <f t="shared" si="10"/>
        <v>97</v>
      </c>
      <c r="B99" s="10" t="s">
        <v>39</v>
      </c>
      <c r="C99" s="11">
        <v>18127241</v>
      </c>
      <c r="D99" s="12">
        <v>13362761</v>
      </c>
      <c r="E99" s="11">
        <v>4777469</v>
      </c>
      <c r="F99" s="13">
        <f t="shared" ref="F99:F130" si="11">100*D99/C99</f>
        <v>73.716463525806276</v>
      </c>
      <c r="G99" s="13">
        <f t="shared" ref="G99:G130" si="12">100-F99</f>
        <v>26.283536474193724</v>
      </c>
      <c r="H99" s="13">
        <f t="shared" ref="H99:H130" si="13">100*E99/D99</f>
        <v>35.752109912015939</v>
      </c>
    </row>
    <row r="100" spans="1:8" x14ac:dyDescent="0.15">
      <c r="A100" s="10">
        <f t="shared" si="10"/>
        <v>98</v>
      </c>
      <c r="B100" s="10" t="s">
        <v>117</v>
      </c>
      <c r="C100" s="11">
        <v>15082376</v>
      </c>
      <c r="D100" s="12">
        <v>11471395</v>
      </c>
      <c r="E100" s="11">
        <v>3610981</v>
      </c>
      <c r="F100" s="13">
        <f t="shared" si="11"/>
        <v>76.058274903105456</v>
      </c>
      <c r="G100" s="13">
        <f t="shared" si="12"/>
        <v>23.941725096894544</v>
      </c>
      <c r="H100" s="13">
        <f t="shared" si="13"/>
        <v>31.478133217450885</v>
      </c>
    </row>
    <row r="101" spans="1:8" x14ac:dyDescent="0.15">
      <c r="A101" s="10">
        <f t="shared" si="10"/>
        <v>99</v>
      </c>
      <c r="B101" s="10" t="s">
        <v>38</v>
      </c>
      <c r="C101" s="11">
        <v>14782369</v>
      </c>
      <c r="D101" s="12">
        <v>10617413</v>
      </c>
      <c r="E101" s="11">
        <v>4420038</v>
      </c>
      <c r="F101" s="13">
        <f t="shared" si="11"/>
        <v>71.824840795139124</v>
      </c>
      <c r="G101" s="13">
        <f t="shared" si="12"/>
        <v>28.175159204860876</v>
      </c>
      <c r="H101" s="13">
        <f t="shared" si="13"/>
        <v>41.630084465961716</v>
      </c>
    </row>
    <row r="102" spans="1:8" x14ac:dyDescent="0.15">
      <c r="A102" s="10">
        <f t="shared" si="10"/>
        <v>100</v>
      </c>
      <c r="B102" s="10" t="s">
        <v>106</v>
      </c>
      <c r="C102" s="11">
        <v>14515479</v>
      </c>
      <c r="D102" s="12">
        <v>11107494</v>
      </c>
      <c r="E102" s="11">
        <v>3715218</v>
      </c>
      <c r="F102" s="13">
        <f t="shared" si="11"/>
        <v>76.521718642560813</v>
      </c>
      <c r="G102" s="13">
        <f t="shared" si="12"/>
        <v>23.478281357439187</v>
      </c>
      <c r="H102" s="13">
        <f t="shared" si="13"/>
        <v>33.447850613288651</v>
      </c>
    </row>
    <row r="103" spans="1:8" x14ac:dyDescent="0.15">
      <c r="A103" s="10">
        <f t="shared" si="10"/>
        <v>101</v>
      </c>
      <c r="B103" s="10" t="s">
        <v>80</v>
      </c>
      <c r="C103" s="11">
        <v>13460016</v>
      </c>
      <c r="D103" s="12">
        <v>9698042</v>
      </c>
      <c r="E103" s="11">
        <v>3761974</v>
      </c>
      <c r="F103" s="13">
        <f t="shared" si="11"/>
        <v>72.05074644784969</v>
      </c>
      <c r="G103" s="13">
        <f t="shared" si="12"/>
        <v>27.94925355215031</v>
      </c>
      <c r="H103" s="13">
        <f t="shared" si="13"/>
        <v>38.791067310287993</v>
      </c>
    </row>
    <row r="104" spans="1:8" x14ac:dyDescent="0.15">
      <c r="A104" s="10">
        <f t="shared" si="10"/>
        <v>102</v>
      </c>
      <c r="B104" s="10" t="s">
        <v>9</v>
      </c>
      <c r="C104" s="11">
        <v>13233444</v>
      </c>
      <c r="D104" s="12">
        <v>9143645</v>
      </c>
      <c r="E104" s="11">
        <v>4089799</v>
      </c>
      <c r="F104" s="13">
        <f t="shared" si="11"/>
        <v>69.094976334202954</v>
      </c>
      <c r="G104" s="13">
        <f t="shared" si="12"/>
        <v>30.905023665797046</v>
      </c>
      <c r="H104" s="13">
        <f t="shared" si="13"/>
        <v>44.728322239107051</v>
      </c>
    </row>
    <row r="105" spans="1:8" x14ac:dyDescent="0.15">
      <c r="A105" s="10">
        <f t="shared" si="10"/>
        <v>103</v>
      </c>
      <c r="B105" s="10" t="s">
        <v>109</v>
      </c>
      <c r="C105" s="11">
        <v>12883631</v>
      </c>
      <c r="D105" s="12">
        <v>10376885</v>
      </c>
      <c r="E105" s="11">
        <v>3401037</v>
      </c>
      <c r="F105" s="13">
        <f t="shared" si="11"/>
        <v>80.54317140874339</v>
      </c>
      <c r="G105" s="13">
        <f t="shared" si="12"/>
        <v>19.45682859125661</v>
      </c>
      <c r="H105" s="13">
        <f t="shared" si="13"/>
        <v>32.77512471228119</v>
      </c>
    </row>
    <row r="106" spans="1:8" x14ac:dyDescent="0.15">
      <c r="A106" s="10">
        <f t="shared" si="10"/>
        <v>104</v>
      </c>
      <c r="B106" s="10" t="s">
        <v>138</v>
      </c>
      <c r="C106" s="11">
        <v>12621266</v>
      </c>
      <c r="D106" s="12">
        <v>10157763</v>
      </c>
      <c r="E106" s="11">
        <v>2463503</v>
      </c>
      <c r="F106" s="13">
        <f t="shared" si="11"/>
        <v>80.481332062884974</v>
      </c>
      <c r="G106" s="13">
        <f t="shared" si="12"/>
        <v>19.518667937115026</v>
      </c>
      <c r="H106" s="13">
        <f t="shared" si="13"/>
        <v>24.252416599993524</v>
      </c>
    </row>
    <row r="107" spans="1:8" x14ac:dyDescent="0.15">
      <c r="A107" s="10">
        <f t="shared" si="10"/>
        <v>105</v>
      </c>
      <c r="B107" s="10" t="s">
        <v>30</v>
      </c>
      <c r="C107" s="11">
        <v>11780606</v>
      </c>
      <c r="D107" s="12">
        <v>8546548</v>
      </c>
      <c r="E107" s="11">
        <v>3292595</v>
      </c>
      <c r="F107" s="13">
        <f t="shared" si="11"/>
        <v>72.547609180716165</v>
      </c>
      <c r="G107" s="13">
        <f t="shared" si="12"/>
        <v>27.452390819283835</v>
      </c>
      <c r="H107" s="13">
        <f t="shared" si="13"/>
        <v>38.525437404669113</v>
      </c>
    </row>
    <row r="108" spans="1:8" x14ac:dyDescent="0.15">
      <c r="A108" s="10">
        <f t="shared" si="10"/>
        <v>106</v>
      </c>
      <c r="B108" s="10" t="s">
        <v>128</v>
      </c>
      <c r="C108" s="11">
        <v>9910984</v>
      </c>
      <c r="D108" s="12">
        <v>7153247</v>
      </c>
      <c r="E108" s="11">
        <v>2757737</v>
      </c>
      <c r="F108" s="13">
        <f t="shared" si="11"/>
        <v>72.174942467872015</v>
      </c>
      <c r="G108" s="13">
        <f t="shared" si="12"/>
        <v>27.825057532127985</v>
      </c>
      <c r="H108" s="13">
        <f t="shared" si="13"/>
        <v>38.55224068174914</v>
      </c>
    </row>
    <row r="109" spans="1:8" x14ac:dyDescent="0.15">
      <c r="A109" s="10">
        <f t="shared" si="10"/>
        <v>107</v>
      </c>
      <c r="B109" s="10" t="s">
        <v>29</v>
      </c>
      <c r="C109" s="11">
        <v>9644560</v>
      </c>
      <c r="D109" s="12">
        <v>7295961</v>
      </c>
      <c r="E109" s="11">
        <v>2348599</v>
      </c>
      <c r="F109" s="13">
        <f t="shared" si="11"/>
        <v>75.64845882030906</v>
      </c>
      <c r="G109" s="13">
        <f t="shared" si="12"/>
        <v>24.35154117969094</v>
      </c>
      <c r="H109" s="13">
        <f t="shared" si="13"/>
        <v>32.190399592322379</v>
      </c>
    </row>
    <row r="110" spans="1:8" x14ac:dyDescent="0.15">
      <c r="A110" s="10">
        <f t="shared" si="10"/>
        <v>108</v>
      </c>
      <c r="B110" s="10" t="s">
        <v>56</v>
      </c>
      <c r="C110" s="11">
        <v>8731911</v>
      </c>
      <c r="D110" s="12">
        <v>5922122</v>
      </c>
      <c r="E110" s="11">
        <v>2847344</v>
      </c>
      <c r="F110" s="13">
        <f t="shared" si="11"/>
        <v>67.821602854174756</v>
      </c>
      <c r="G110" s="13">
        <f t="shared" si="12"/>
        <v>32.178397145825244</v>
      </c>
      <c r="H110" s="13">
        <f t="shared" si="13"/>
        <v>48.079793020137039</v>
      </c>
    </row>
    <row r="111" spans="1:8" x14ac:dyDescent="0.15">
      <c r="A111" s="10">
        <f t="shared" si="10"/>
        <v>109</v>
      </c>
      <c r="B111" s="10" t="s">
        <v>69</v>
      </c>
      <c r="C111" s="11">
        <v>8534535</v>
      </c>
      <c r="D111" s="12">
        <v>5799259</v>
      </c>
      <c r="E111" s="11">
        <v>2745660</v>
      </c>
      <c r="F111" s="13">
        <f t="shared" si="11"/>
        <v>67.950497595944015</v>
      </c>
      <c r="G111" s="13">
        <f t="shared" si="12"/>
        <v>32.049502404055985</v>
      </c>
      <c r="H111" s="13">
        <f t="shared" si="13"/>
        <v>47.345014250958613</v>
      </c>
    </row>
    <row r="112" spans="1:8" x14ac:dyDescent="0.15">
      <c r="A112" s="10">
        <f t="shared" si="10"/>
        <v>110</v>
      </c>
      <c r="B112" s="10" t="s">
        <v>20</v>
      </c>
      <c r="C112" s="11">
        <v>7606647</v>
      </c>
      <c r="D112" s="12">
        <v>5381184</v>
      </c>
      <c r="E112" s="11">
        <v>2225463</v>
      </c>
      <c r="F112" s="13">
        <f t="shared" si="11"/>
        <v>70.743180273778975</v>
      </c>
      <c r="G112" s="13">
        <f t="shared" si="12"/>
        <v>29.256819726221025</v>
      </c>
      <c r="H112" s="13">
        <f t="shared" si="13"/>
        <v>41.35638179255718</v>
      </c>
    </row>
    <row r="113" spans="1:8" x14ac:dyDescent="0.15">
      <c r="A113" s="10">
        <f t="shared" si="10"/>
        <v>111</v>
      </c>
      <c r="B113" s="10" t="s">
        <v>83</v>
      </c>
      <c r="C113" s="11">
        <v>7548918</v>
      </c>
      <c r="D113" s="12">
        <v>5624441</v>
      </c>
      <c r="E113" s="11">
        <v>1924477</v>
      </c>
      <c r="F113" s="13">
        <f t="shared" si="11"/>
        <v>74.506584917202701</v>
      </c>
      <c r="G113" s="13">
        <f t="shared" si="12"/>
        <v>25.493415082797299</v>
      </c>
      <c r="H113" s="13">
        <f t="shared" si="13"/>
        <v>34.216324786765476</v>
      </c>
    </row>
    <row r="114" spans="1:8" x14ac:dyDescent="0.15">
      <c r="A114" s="10">
        <f t="shared" si="10"/>
        <v>112</v>
      </c>
      <c r="B114" s="10" t="s">
        <v>116</v>
      </c>
      <c r="C114" s="11">
        <v>7453289</v>
      </c>
      <c r="D114" s="12">
        <v>5159176</v>
      </c>
      <c r="E114" s="11">
        <v>2294113</v>
      </c>
      <c r="F114" s="13">
        <f t="shared" si="11"/>
        <v>69.220125504324329</v>
      </c>
      <c r="G114" s="13">
        <f t="shared" si="12"/>
        <v>30.779874495675671</v>
      </c>
      <c r="H114" s="13">
        <f t="shared" si="13"/>
        <v>44.466655140278213</v>
      </c>
    </row>
    <row r="115" spans="1:8" x14ac:dyDescent="0.15">
      <c r="A115" s="10">
        <f t="shared" si="10"/>
        <v>113</v>
      </c>
      <c r="B115" s="10" t="s">
        <v>150</v>
      </c>
      <c r="C115" s="11">
        <v>7272081</v>
      </c>
      <c r="D115" s="12">
        <v>4691093</v>
      </c>
      <c r="E115" s="11">
        <v>2580988</v>
      </c>
      <c r="F115" s="13">
        <f t="shared" si="11"/>
        <v>64.508261115353363</v>
      </c>
      <c r="G115" s="13">
        <f t="shared" si="12"/>
        <v>35.491738884646637</v>
      </c>
      <c r="H115" s="13">
        <f t="shared" si="13"/>
        <v>55.018904975876623</v>
      </c>
    </row>
    <row r="116" spans="1:8" x14ac:dyDescent="0.15">
      <c r="A116" s="10">
        <f t="shared" si="10"/>
        <v>114</v>
      </c>
      <c r="B116" s="10" t="s">
        <v>126</v>
      </c>
      <c r="C116" s="11">
        <v>7201404</v>
      </c>
      <c r="D116" s="12">
        <v>5193823</v>
      </c>
      <c r="E116" s="11">
        <v>2007581</v>
      </c>
      <c r="F116" s="13">
        <f t="shared" si="11"/>
        <v>72.122366694050214</v>
      </c>
      <c r="G116" s="13">
        <f t="shared" si="12"/>
        <v>27.877633305949786</v>
      </c>
      <c r="H116" s="13">
        <f t="shared" si="13"/>
        <v>38.653242515195451</v>
      </c>
    </row>
    <row r="117" spans="1:8" x14ac:dyDescent="0.15">
      <c r="A117" s="10">
        <f t="shared" si="10"/>
        <v>115</v>
      </c>
      <c r="B117" s="10" t="s">
        <v>16</v>
      </c>
      <c r="C117" s="11">
        <v>7179863</v>
      </c>
      <c r="D117" s="12">
        <v>5569037</v>
      </c>
      <c r="E117" s="11">
        <v>1610826</v>
      </c>
      <c r="F117" s="13">
        <f t="shared" si="11"/>
        <v>77.564669409430238</v>
      </c>
      <c r="G117" s="13">
        <f t="shared" si="12"/>
        <v>22.435330590569762</v>
      </c>
      <c r="H117" s="13">
        <f t="shared" si="13"/>
        <v>28.92467764175386</v>
      </c>
    </row>
    <row r="118" spans="1:8" x14ac:dyDescent="0.15">
      <c r="A118" s="10">
        <f t="shared" si="10"/>
        <v>116</v>
      </c>
      <c r="B118" s="10" t="s">
        <v>48</v>
      </c>
      <c r="C118" s="11">
        <v>6408625</v>
      </c>
      <c r="D118" s="12">
        <v>4344723</v>
      </c>
      <c r="E118" s="11">
        <v>2063902</v>
      </c>
      <c r="F118" s="13">
        <f t="shared" si="11"/>
        <v>67.794932610349335</v>
      </c>
      <c r="G118" s="13">
        <f t="shared" si="12"/>
        <v>32.205067389650665</v>
      </c>
      <c r="H118" s="13">
        <f t="shared" si="13"/>
        <v>47.503649829920114</v>
      </c>
    </row>
    <row r="119" spans="1:8" x14ac:dyDescent="0.15">
      <c r="A119" s="10">
        <f t="shared" si="10"/>
        <v>117</v>
      </c>
      <c r="B119" s="10" t="s">
        <v>151</v>
      </c>
      <c r="C119" s="11">
        <v>6311169</v>
      </c>
      <c r="D119" s="12">
        <v>6311169</v>
      </c>
      <c r="E119" s="11">
        <v>0</v>
      </c>
      <c r="F119" s="13">
        <f t="shared" si="11"/>
        <v>100</v>
      </c>
      <c r="G119" s="13">
        <f t="shared" si="12"/>
        <v>0</v>
      </c>
      <c r="H119" s="13">
        <f t="shared" si="13"/>
        <v>0</v>
      </c>
    </row>
    <row r="120" spans="1:8" x14ac:dyDescent="0.15">
      <c r="A120" s="10">
        <f t="shared" si="10"/>
        <v>118</v>
      </c>
      <c r="B120" s="10" t="s">
        <v>36</v>
      </c>
      <c r="C120" s="11">
        <v>6283173</v>
      </c>
      <c r="D120" s="12">
        <v>4200945</v>
      </c>
      <c r="E120" s="11">
        <v>2135435</v>
      </c>
      <c r="F120" s="13">
        <f t="shared" si="11"/>
        <v>66.860247203124914</v>
      </c>
      <c r="G120" s="13">
        <f t="shared" si="12"/>
        <v>33.139752796875086</v>
      </c>
      <c r="H120" s="13">
        <f t="shared" si="13"/>
        <v>50.832253219216156</v>
      </c>
    </row>
    <row r="121" spans="1:8" x14ac:dyDescent="0.15">
      <c r="A121" s="10">
        <f t="shared" si="10"/>
        <v>119</v>
      </c>
      <c r="B121" s="10" t="s">
        <v>40</v>
      </c>
      <c r="C121" s="11">
        <v>5811500</v>
      </c>
      <c r="D121" s="12">
        <v>4807801</v>
      </c>
      <c r="E121" s="11">
        <v>1003699</v>
      </c>
      <c r="F121" s="13">
        <f t="shared" si="11"/>
        <v>82.729088875505468</v>
      </c>
      <c r="G121" s="13">
        <f t="shared" si="12"/>
        <v>17.270911124494532</v>
      </c>
      <c r="H121" s="13">
        <f t="shared" si="13"/>
        <v>20.876467224828982</v>
      </c>
    </row>
    <row r="122" spans="1:8" x14ac:dyDescent="0.15">
      <c r="A122" s="10">
        <f t="shared" si="10"/>
        <v>120</v>
      </c>
      <c r="B122" s="10" t="s">
        <v>143</v>
      </c>
      <c r="C122" s="11">
        <v>5784035</v>
      </c>
      <c r="D122" s="12">
        <v>4184707</v>
      </c>
      <c r="E122" s="11">
        <v>1599328</v>
      </c>
      <c r="F122" s="13">
        <f t="shared" si="11"/>
        <v>72.349268287622735</v>
      </c>
      <c r="G122" s="13">
        <f t="shared" si="12"/>
        <v>27.650731712377265</v>
      </c>
      <c r="H122" s="13">
        <f t="shared" si="13"/>
        <v>38.218398564104966</v>
      </c>
    </row>
    <row r="123" spans="1:8" x14ac:dyDescent="0.15">
      <c r="A123" s="10">
        <f t="shared" si="10"/>
        <v>121</v>
      </c>
      <c r="B123" s="10" t="s">
        <v>17</v>
      </c>
      <c r="C123" s="11">
        <v>5673950</v>
      </c>
      <c r="D123" s="12">
        <v>3955507</v>
      </c>
      <c r="E123" s="11">
        <v>1724717</v>
      </c>
      <c r="F123" s="13">
        <f t="shared" si="11"/>
        <v>69.713462402735303</v>
      </c>
      <c r="G123" s="13">
        <f t="shared" si="12"/>
        <v>30.286537597264697</v>
      </c>
      <c r="H123" s="13">
        <f t="shared" si="13"/>
        <v>43.602931305645519</v>
      </c>
    </row>
    <row r="124" spans="1:8" x14ac:dyDescent="0.15">
      <c r="A124" s="10">
        <f t="shared" si="10"/>
        <v>122</v>
      </c>
      <c r="B124" s="17" t="s">
        <v>118</v>
      </c>
      <c r="C124" s="15">
        <v>5323434</v>
      </c>
      <c r="D124" s="12">
        <v>4427066</v>
      </c>
      <c r="E124" s="11">
        <v>1120602</v>
      </c>
      <c r="F124" s="13">
        <f t="shared" si="11"/>
        <v>83.161846281930053</v>
      </c>
      <c r="G124" s="13">
        <f t="shared" si="12"/>
        <v>16.838153718069947</v>
      </c>
      <c r="H124" s="13">
        <f t="shared" si="13"/>
        <v>25.312520753022429</v>
      </c>
    </row>
    <row r="125" spans="1:8" x14ac:dyDescent="0.15">
      <c r="A125" s="10">
        <f t="shared" si="10"/>
        <v>123</v>
      </c>
      <c r="B125" s="10" t="s">
        <v>24</v>
      </c>
      <c r="C125" s="11">
        <v>5208619</v>
      </c>
      <c r="D125" s="12">
        <v>3789380</v>
      </c>
      <c r="E125" s="11">
        <v>1419239</v>
      </c>
      <c r="F125" s="13">
        <f t="shared" si="11"/>
        <v>72.752105692506973</v>
      </c>
      <c r="G125" s="13">
        <f t="shared" si="12"/>
        <v>27.247894307493027</v>
      </c>
      <c r="H125" s="13">
        <f t="shared" si="13"/>
        <v>37.453066200803299</v>
      </c>
    </row>
    <row r="126" spans="1:8" x14ac:dyDescent="0.15">
      <c r="A126" s="10">
        <f t="shared" si="10"/>
        <v>124</v>
      </c>
      <c r="B126" s="10" t="s">
        <v>44</v>
      </c>
      <c r="C126" s="11">
        <v>5100108</v>
      </c>
      <c r="D126" s="12">
        <v>4615706</v>
      </c>
      <c r="E126" s="11">
        <v>609220</v>
      </c>
      <c r="F126" s="13">
        <f t="shared" si="11"/>
        <v>90.502122700146742</v>
      </c>
      <c r="G126" s="13">
        <f t="shared" si="12"/>
        <v>9.4978772998532577</v>
      </c>
      <c r="H126" s="13">
        <f t="shared" si="13"/>
        <v>13.198847586913031</v>
      </c>
    </row>
    <row r="127" spans="1:8" x14ac:dyDescent="0.15">
      <c r="A127" s="10">
        <f t="shared" si="10"/>
        <v>125</v>
      </c>
      <c r="B127" s="10" t="s">
        <v>50</v>
      </c>
      <c r="C127" s="11">
        <v>4812248</v>
      </c>
      <c r="D127" s="12">
        <v>3170389</v>
      </c>
      <c r="E127" s="11">
        <v>1641859</v>
      </c>
      <c r="F127" s="13">
        <f t="shared" si="11"/>
        <v>65.881662790446384</v>
      </c>
      <c r="G127" s="13">
        <f t="shared" si="12"/>
        <v>34.118337209553616</v>
      </c>
      <c r="H127" s="13">
        <f t="shared" si="13"/>
        <v>51.787304333947667</v>
      </c>
    </row>
    <row r="128" spans="1:8" x14ac:dyDescent="0.15">
      <c r="A128" s="10">
        <f t="shared" si="10"/>
        <v>126</v>
      </c>
      <c r="B128" s="10" t="s">
        <v>25</v>
      </c>
      <c r="C128" s="11">
        <v>4702879</v>
      </c>
      <c r="D128" s="12">
        <v>3266957</v>
      </c>
      <c r="E128" s="11">
        <v>1435922</v>
      </c>
      <c r="F128" s="13">
        <f t="shared" si="11"/>
        <v>69.467171066914545</v>
      </c>
      <c r="G128" s="13">
        <f t="shared" si="12"/>
        <v>30.532828933085455</v>
      </c>
      <c r="H128" s="13">
        <f t="shared" si="13"/>
        <v>43.95288949318892</v>
      </c>
    </row>
    <row r="129" spans="1:8" x14ac:dyDescent="0.15">
      <c r="A129" s="10">
        <f t="shared" si="10"/>
        <v>127</v>
      </c>
      <c r="B129" s="10" t="s">
        <v>103</v>
      </c>
      <c r="C129" s="11">
        <v>4240880</v>
      </c>
      <c r="D129" s="12">
        <v>3149008</v>
      </c>
      <c r="E129" s="11">
        <v>1104372</v>
      </c>
      <c r="F129" s="13">
        <f t="shared" si="11"/>
        <v>74.253645469808149</v>
      </c>
      <c r="G129" s="13">
        <f t="shared" si="12"/>
        <v>25.746354530191851</v>
      </c>
      <c r="H129" s="13">
        <f t="shared" si="13"/>
        <v>35.070472987048618</v>
      </c>
    </row>
    <row r="130" spans="1:8" x14ac:dyDescent="0.15">
      <c r="A130" s="10">
        <f t="shared" si="10"/>
        <v>128</v>
      </c>
      <c r="B130" s="10" t="s">
        <v>110</v>
      </c>
      <c r="C130" s="11">
        <v>4039957</v>
      </c>
      <c r="D130" s="12">
        <v>3558668</v>
      </c>
      <c r="E130" s="11">
        <v>481289</v>
      </c>
      <c r="F130" s="13">
        <f t="shared" si="11"/>
        <v>88.086779141461164</v>
      </c>
      <c r="G130" s="13">
        <f t="shared" si="12"/>
        <v>11.913220858538836</v>
      </c>
      <c r="H130" s="13">
        <f t="shared" si="13"/>
        <v>13.524414190927617</v>
      </c>
    </row>
    <row r="131" spans="1:8" x14ac:dyDescent="0.15">
      <c r="A131" s="10">
        <f t="shared" si="10"/>
        <v>129</v>
      </c>
      <c r="B131" s="10" t="s">
        <v>34</v>
      </c>
      <c r="C131" s="11">
        <v>3905784</v>
      </c>
      <c r="D131" s="12">
        <v>2890444</v>
      </c>
      <c r="E131" s="11">
        <v>1015340</v>
      </c>
      <c r="F131" s="13">
        <f t="shared" ref="F131:F150" si="14">100*D131/C131</f>
        <v>74.004194804423392</v>
      </c>
      <c r="G131" s="13">
        <f t="shared" ref="G131:G150" si="15">100-F131</f>
        <v>25.995805195576608</v>
      </c>
      <c r="H131" s="13">
        <f t="shared" ref="H131:H150" si="16">100*E131/D131</f>
        <v>35.127475225259509</v>
      </c>
    </row>
    <row r="132" spans="1:8" x14ac:dyDescent="0.15">
      <c r="A132" s="10">
        <f t="shared" si="10"/>
        <v>130</v>
      </c>
      <c r="B132" s="10" t="s">
        <v>53</v>
      </c>
      <c r="C132" s="11">
        <v>3808330</v>
      </c>
      <c r="D132" s="12">
        <v>3013229</v>
      </c>
      <c r="E132" s="11">
        <v>805101</v>
      </c>
      <c r="F132" s="13">
        <f t="shared" si="14"/>
        <v>79.122056124337959</v>
      </c>
      <c r="G132" s="13">
        <f t="shared" si="15"/>
        <v>20.877943875662041</v>
      </c>
      <c r="H132" s="13">
        <f t="shared" si="16"/>
        <v>26.718878651440033</v>
      </c>
    </row>
    <row r="133" spans="1:8" x14ac:dyDescent="0.15">
      <c r="A133" s="10">
        <f t="shared" ref="A133:A150" si="17">1+A132</f>
        <v>131</v>
      </c>
      <c r="B133" s="10" t="s">
        <v>57</v>
      </c>
      <c r="C133" s="11">
        <v>2748737</v>
      </c>
      <c r="D133" s="12">
        <v>1764835</v>
      </c>
      <c r="E133" s="11">
        <v>983902</v>
      </c>
      <c r="F133" s="13">
        <f t="shared" si="14"/>
        <v>64.205305927777019</v>
      </c>
      <c r="G133" s="13">
        <f t="shared" si="15"/>
        <v>35.794694072222981</v>
      </c>
      <c r="H133" s="13">
        <f t="shared" si="16"/>
        <v>55.75036759810407</v>
      </c>
    </row>
    <row r="134" spans="1:8" x14ac:dyDescent="0.15">
      <c r="A134" s="10">
        <f t="shared" si="17"/>
        <v>132</v>
      </c>
      <c r="B134" s="10" t="s">
        <v>91</v>
      </c>
      <c r="C134" s="11">
        <v>2553087</v>
      </c>
      <c r="D134" s="12">
        <v>1698633</v>
      </c>
      <c r="E134" s="11">
        <v>854454</v>
      </c>
      <c r="F134" s="13">
        <f t="shared" si="14"/>
        <v>66.532515343190425</v>
      </c>
      <c r="G134" s="13">
        <f t="shared" si="15"/>
        <v>33.467484656809575</v>
      </c>
      <c r="H134" s="13">
        <f t="shared" si="16"/>
        <v>50.302449087001136</v>
      </c>
    </row>
    <row r="135" spans="1:8" x14ac:dyDescent="0.15">
      <c r="A135" s="10">
        <f t="shared" si="17"/>
        <v>133</v>
      </c>
      <c r="B135" s="10" t="s">
        <v>136</v>
      </c>
      <c r="C135" s="11">
        <v>2144325</v>
      </c>
      <c r="D135" s="12">
        <v>1579714</v>
      </c>
      <c r="E135" s="11">
        <v>609017</v>
      </c>
      <c r="F135" s="13">
        <f t="shared" si="14"/>
        <v>73.669523043381943</v>
      </c>
      <c r="G135" s="13">
        <f t="shared" si="15"/>
        <v>26.330476956618057</v>
      </c>
      <c r="H135" s="13">
        <f t="shared" si="16"/>
        <v>38.552358211676292</v>
      </c>
    </row>
    <row r="136" spans="1:8" x14ac:dyDescent="0.15">
      <c r="A136" s="10">
        <f t="shared" si="17"/>
        <v>134</v>
      </c>
      <c r="B136" s="10" t="s">
        <v>142</v>
      </c>
      <c r="C136" s="11">
        <v>2071678</v>
      </c>
      <c r="D136" s="12">
        <v>1490960</v>
      </c>
      <c r="E136" s="11">
        <v>580718</v>
      </c>
      <c r="F136" s="13">
        <f t="shared" si="14"/>
        <v>71.968713284593449</v>
      </c>
      <c r="G136" s="13">
        <f t="shared" si="15"/>
        <v>28.031286715406551</v>
      </c>
      <c r="H136" s="13">
        <f t="shared" si="16"/>
        <v>38.94926758598487</v>
      </c>
    </row>
    <row r="137" spans="1:8" x14ac:dyDescent="0.15">
      <c r="A137" s="10">
        <f t="shared" si="17"/>
        <v>135</v>
      </c>
      <c r="B137" s="10" t="s">
        <v>61</v>
      </c>
      <c r="C137" s="11">
        <v>2023597</v>
      </c>
      <c r="D137" s="12">
        <v>1436466</v>
      </c>
      <c r="E137" s="11">
        <v>587131</v>
      </c>
      <c r="F137" s="13">
        <f t="shared" si="14"/>
        <v>70.985774341432602</v>
      </c>
      <c r="G137" s="13">
        <f t="shared" si="15"/>
        <v>29.014225658567398</v>
      </c>
      <c r="H137" s="13">
        <f t="shared" si="16"/>
        <v>40.873295991690718</v>
      </c>
    </row>
    <row r="138" spans="1:8" x14ac:dyDescent="0.15">
      <c r="A138" s="10">
        <f t="shared" si="17"/>
        <v>136</v>
      </c>
      <c r="B138" s="10" t="s">
        <v>155</v>
      </c>
      <c r="C138" s="11">
        <v>1710773</v>
      </c>
      <c r="D138" s="12">
        <v>1284742</v>
      </c>
      <c r="E138" s="11">
        <v>426031</v>
      </c>
      <c r="F138" s="13">
        <f t="shared" si="14"/>
        <v>75.097163679810237</v>
      </c>
      <c r="G138" s="13">
        <f t="shared" si="15"/>
        <v>24.902836320189763</v>
      </c>
      <c r="H138" s="13">
        <f t="shared" si="16"/>
        <v>33.1608213944901</v>
      </c>
    </row>
    <row r="139" spans="1:8" x14ac:dyDescent="0.15">
      <c r="A139" s="10">
        <f t="shared" si="17"/>
        <v>137</v>
      </c>
      <c r="B139" s="10" t="s">
        <v>26</v>
      </c>
      <c r="C139" s="11">
        <v>1519286</v>
      </c>
      <c r="D139" s="12">
        <v>1378837</v>
      </c>
      <c r="E139" s="11">
        <v>235689</v>
      </c>
      <c r="F139" s="13">
        <f t="shared" si="14"/>
        <v>90.755591771397874</v>
      </c>
      <c r="G139" s="13">
        <f t="shared" si="15"/>
        <v>9.2444082286021256</v>
      </c>
      <c r="H139" s="13">
        <f t="shared" si="16"/>
        <v>17.093318499576093</v>
      </c>
    </row>
    <row r="140" spans="1:8" x14ac:dyDescent="0.15">
      <c r="A140" s="10">
        <f t="shared" si="17"/>
        <v>138</v>
      </c>
      <c r="B140" s="10" t="s">
        <v>68</v>
      </c>
      <c r="C140" s="11">
        <v>1463135</v>
      </c>
      <c r="D140" s="12">
        <v>933256</v>
      </c>
      <c r="E140" s="11">
        <v>529879</v>
      </c>
      <c r="F140" s="13">
        <f t="shared" si="14"/>
        <v>63.784681522894331</v>
      </c>
      <c r="G140" s="13">
        <f t="shared" si="15"/>
        <v>36.215318477105669</v>
      </c>
      <c r="H140" s="13">
        <f t="shared" si="16"/>
        <v>56.777454417651747</v>
      </c>
    </row>
    <row r="141" spans="1:8" x14ac:dyDescent="0.15">
      <c r="A141" s="10">
        <f t="shared" si="17"/>
        <v>139</v>
      </c>
      <c r="B141" s="10" t="s">
        <v>74</v>
      </c>
      <c r="C141" s="11">
        <v>1257081</v>
      </c>
      <c r="D141" s="12">
        <v>931037</v>
      </c>
      <c r="E141" s="11">
        <v>326044</v>
      </c>
      <c r="F141" s="13">
        <f t="shared" si="14"/>
        <v>74.063405619844701</v>
      </c>
      <c r="G141" s="13">
        <f t="shared" si="15"/>
        <v>25.936594380155299</v>
      </c>
      <c r="H141" s="13">
        <f t="shared" si="16"/>
        <v>35.019446058534733</v>
      </c>
    </row>
    <row r="142" spans="1:8" x14ac:dyDescent="0.15">
      <c r="A142" s="10">
        <f t="shared" si="17"/>
        <v>140</v>
      </c>
      <c r="B142" s="18" t="s">
        <v>72</v>
      </c>
      <c r="C142" s="11">
        <v>1199626</v>
      </c>
      <c r="D142" s="12">
        <v>941624</v>
      </c>
      <c r="E142" s="11">
        <v>258002</v>
      </c>
      <c r="F142" s="13">
        <f t="shared" si="14"/>
        <v>78.493130358961878</v>
      </c>
      <c r="G142" s="13">
        <f t="shared" si="15"/>
        <v>21.506869641038122</v>
      </c>
      <c r="H142" s="13">
        <f t="shared" si="16"/>
        <v>27.399683950281641</v>
      </c>
    </row>
    <row r="143" spans="1:8" x14ac:dyDescent="0.15">
      <c r="A143" s="10">
        <f t="shared" si="17"/>
        <v>141</v>
      </c>
      <c r="B143" s="10" t="s">
        <v>45</v>
      </c>
      <c r="C143" s="11">
        <v>1070303</v>
      </c>
      <c r="D143" s="12">
        <v>873816</v>
      </c>
      <c r="E143" s="11">
        <v>196487</v>
      </c>
      <c r="F143" s="13">
        <f t="shared" si="14"/>
        <v>81.641927566305995</v>
      </c>
      <c r="G143" s="13">
        <f t="shared" si="15"/>
        <v>18.358072433694005</v>
      </c>
      <c r="H143" s="13">
        <f t="shared" si="16"/>
        <v>22.48608402684318</v>
      </c>
    </row>
    <row r="144" spans="1:8" x14ac:dyDescent="0.15">
      <c r="A144" s="10">
        <f t="shared" si="17"/>
        <v>142</v>
      </c>
      <c r="B144" s="10" t="s">
        <v>153</v>
      </c>
      <c r="C144" s="11">
        <v>996698</v>
      </c>
      <c r="D144" s="12">
        <v>759845</v>
      </c>
      <c r="E144" s="11">
        <v>236853</v>
      </c>
      <c r="F144" s="13">
        <f t="shared" si="14"/>
        <v>76.23623203819011</v>
      </c>
      <c r="G144" s="13">
        <f t="shared" si="15"/>
        <v>23.76376796180989</v>
      </c>
      <c r="H144" s="13">
        <f t="shared" si="16"/>
        <v>31.171225710506747</v>
      </c>
    </row>
    <row r="145" spans="1:8" x14ac:dyDescent="0.15">
      <c r="A145" s="10">
        <f t="shared" si="17"/>
        <v>143</v>
      </c>
      <c r="B145" s="10" t="s">
        <v>15</v>
      </c>
      <c r="C145" s="11">
        <v>932711</v>
      </c>
      <c r="D145" s="12">
        <v>676633</v>
      </c>
      <c r="E145" s="11">
        <v>256078</v>
      </c>
      <c r="F145" s="13">
        <f t="shared" si="14"/>
        <v>72.544764669870943</v>
      </c>
      <c r="G145" s="13">
        <f t="shared" si="15"/>
        <v>27.455235330129057</v>
      </c>
      <c r="H145" s="13">
        <f t="shared" si="16"/>
        <v>37.845922383330404</v>
      </c>
    </row>
    <row r="146" spans="1:8" x14ac:dyDescent="0.15">
      <c r="A146" s="10">
        <f t="shared" si="17"/>
        <v>144</v>
      </c>
      <c r="B146" s="10" t="s">
        <v>28</v>
      </c>
      <c r="C146" s="11">
        <v>831183</v>
      </c>
      <c r="D146" s="12">
        <v>549406</v>
      </c>
      <c r="E146" s="11">
        <v>281777</v>
      </c>
      <c r="F146" s="13">
        <f t="shared" si="14"/>
        <v>66.099282588792121</v>
      </c>
      <c r="G146" s="13">
        <f t="shared" si="15"/>
        <v>33.900717411207879</v>
      </c>
      <c r="H146" s="13">
        <f t="shared" si="16"/>
        <v>51.287572396369896</v>
      </c>
    </row>
    <row r="147" spans="1:8" x14ac:dyDescent="0.15">
      <c r="A147" s="10">
        <f t="shared" si="17"/>
        <v>145</v>
      </c>
      <c r="B147" s="10" t="s">
        <v>105</v>
      </c>
      <c r="C147" s="11">
        <v>578435</v>
      </c>
      <c r="D147" s="12">
        <v>393642</v>
      </c>
      <c r="E147" s="11">
        <v>184793</v>
      </c>
      <c r="F147" s="13">
        <f t="shared" si="14"/>
        <v>68.052935939215303</v>
      </c>
      <c r="G147" s="13">
        <f t="shared" si="15"/>
        <v>31.947064060784697</v>
      </c>
      <c r="H147" s="13">
        <f t="shared" si="16"/>
        <v>46.944431742547799</v>
      </c>
    </row>
    <row r="148" spans="1:8" x14ac:dyDescent="0.15">
      <c r="A148" s="10">
        <f t="shared" si="17"/>
        <v>146</v>
      </c>
      <c r="B148" s="10" t="s">
        <v>154</v>
      </c>
      <c r="C148" s="11">
        <v>377556</v>
      </c>
      <c r="D148" s="12">
        <v>250000</v>
      </c>
      <c r="E148" s="11">
        <v>127556</v>
      </c>
      <c r="F148" s="13">
        <f t="shared" si="14"/>
        <v>66.215342889531613</v>
      </c>
      <c r="G148" s="13">
        <f t="shared" si="15"/>
        <v>33.784657110468387</v>
      </c>
      <c r="H148" s="13">
        <f t="shared" si="16"/>
        <v>51.022399999999998</v>
      </c>
    </row>
    <row r="149" spans="1:8" x14ac:dyDescent="0.15">
      <c r="A149" s="10">
        <f t="shared" si="17"/>
        <v>147</v>
      </c>
      <c r="B149" s="10" t="s">
        <v>149</v>
      </c>
      <c r="C149" s="11">
        <v>184117</v>
      </c>
      <c r="D149" s="12">
        <v>125000</v>
      </c>
      <c r="E149" s="11">
        <v>59117</v>
      </c>
      <c r="F149" s="13">
        <f t="shared" si="14"/>
        <v>67.891612398637818</v>
      </c>
      <c r="G149" s="13">
        <f t="shared" si="15"/>
        <v>32.108387601362182</v>
      </c>
      <c r="H149" s="13">
        <f t="shared" si="16"/>
        <v>47.293599999999998</v>
      </c>
    </row>
    <row r="150" spans="1:8" x14ac:dyDescent="0.15">
      <c r="A150" s="10">
        <f t="shared" si="17"/>
        <v>148</v>
      </c>
      <c r="B150" s="10" t="s">
        <v>146</v>
      </c>
      <c r="C150" s="11">
        <v>41974</v>
      </c>
      <c r="D150" s="12">
        <v>41974</v>
      </c>
      <c r="E150" s="11">
        <v>0</v>
      </c>
      <c r="F150" s="13">
        <f t="shared" si="14"/>
        <v>100</v>
      </c>
      <c r="G150" s="13">
        <f t="shared" si="15"/>
        <v>0</v>
      </c>
      <c r="H150" s="13">
        <f t="shared" si="16"/>
        <v>0</v>
      </c>
    </row>
    <row r="151" spans="1:8" x14ac:dyDescent="0.15">
      <c r="A151" s="10"/>
      <c r="B151" s="10"/>
      <c r="C151" s="10"/>
      <c r="D151" s="19"/>
      <c r="E151" s="11"/>
      <c r="F151" s="13"/>
      <c r="G151" s="13"/>
      <c r="H151" s="10"/>
    </row>
    <row r="152" spans="1:8" x14ac:dyDescent="0.15">
      <c r="A152" s="10"/>
      <c r="B152" s="20" t="s">
        <v>7</v>
      </c>
      <c r="C152" s="11">
        <f>SUM(C3:C150)</f>
        <v>19192936124</v>
      </c>
      <c r="D152" s="12">
        <f>SUM(D3:D150)</f>
        <v>14132709358</v>
      </c>
      <c r="E152" s="11">
        <f>SUM(E3:E150)</f>
        <v>5376596223</v>
      </c>
      <c r="F152" s="13"/>
      <c r="G152" s="13"/>
      <c r="H152" s="10"/>
    </row>
    <row r="153" spans="1:8" x14ac:dyDescent="0.15">
      <c r="A153" s="10"/>
      <c r="B153" s="17"/>
      <c r="C153" s="15"/>
      <c r="D153" s="19"/>
      <c r="E153" s="11"/>
      <c r="F153" s="13"/>
      <c r="G153" s="13"/>
      <c r="H153" s="10"/>
    </row>
    <row r="154" spans="1:8" x14ac:dyDescent="0.15">
      <c r="A154" s="10"/>
      <c r="B154" s="20" t="s">
        <v>3</v>
      </c>
      <c r="C154" s="15">
        <f>AVERAGE(C3:C150)</f>
        <v>129682000.83783785</v>
      </c>
      <c r="D154" s="16">
        <f>AVERAGE(D3:D150)</f>
        <v>95491279.445945948</v>
      </c>
      <c r="E154" s="15">
        <f>AVERAGE(E3:E150)</f>
        <v>36328352.858108111</v>
      </c>
      <c r="F154" s="13">
        <f>100*D154/C154</f>
        <v>73.634952290221037</v>
      </c>
      <c r="G154" s="13">
        <f>100-F154</f>
        <v>26.365047709778963</v>
      </c>
      <c r="H154" s="13">
        <f>100-G154</f>
        <v>73.634952290221037</v>
      </c>
    </row>
    <row r="155" spans="1:8" x14ac:dyDescent="0.15">
      <c r="A155" s="10"/>
      <c r="B155" s="21" t="s">
        <v>161</v>
      </c>
      <c r="C155" s="15"/>
      <c r="D155" s="19"/>
      <c r="E155" s="11"/>
      <c r="F155" s="13"/>
      <c r="G155" s="13"/>
      <c r="H155" s="10"/>
    </row>
    <row r="156" spans="1:8" x14ac:dyDescent="0.15">
      <c r="A156" s="10"/>
      <c r="B156" s="20" t="s">
        <v>4</v>
      </c>
      <c r="C156" s="15">
        <f>MEDIAN(C3:C150)</f>
        <v>55623954.5</v>
      </c>
      <c r="D156" s="16">
        <f>MEDIAN(D3:D150)</f>
        <v>39936759</v>
      </c>
      <c r="E156" s="15">
        <f>MEDIAN(E3:E150)</f>
        <v>15649722.5</v>
      </c>
      <c r="F156" s="13">
        <f>100*D156/C156</f>
        <v>71.797770149549507</v>
      </c>
      <c r="G156" s="13">
        <f>100-F156</f>
        <v>28.202229850450493</v>
      </c>
      <c r="H156" s="13">
        <f>100-G156</f>
        <v>71.797770149549507</v>
      </c>
    </row>
  </sheetData>
  <mergeCells count="1">
    <mergeCell ref="A1:B1"/>
  </mergeCells>
  <phoneticPr fontId="4" type="noConversion"/>
  <hyperlinks>
    <hyperlink ref="C1" r:id="rId1" xr:uid="{1C6BBC8B-0435-4AE6-A0D4-9BEE53A9D6BB}"/>
  </hyperlinks>
  <pageMargins left="0.75" right="0.75" top="1" bottom="1" header="0.5" footer="0.5"/>
  <pageSetup orientation="landscape" horizontalDpi="0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E4B6-33E4-4AF0-8947-C48C84036DF4}">
  <dimension ref="A1"/>
  <sheetViews>
    <sheetView workbookViewId="0">
      <selection activeCell="E33" sqref="E33"/>
    </sheetView>
  </sheetViews>
  <sheetFormatPr baseColWidth="10" defaultColWidth="8.83203125" defaultRowHeight="13" x14ac:dyDescent="0.15"/>
  <sheetData>
    <row r="1" spans="1:1" x14ac:dyDescent="0.15">
      <c r="A1" s="2"/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Sheet 2</vt:lpstr>
    </vt:vector>
  </TitlesOfParts>
  <Company>Blue Ridge Institute for Medical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Roskoski Jr.</dc:creator>
  <cp:lastModifiedBy>Parslow, Tristram G</cp:lastModifiedBy>
  <cp:lastPrinted>2025-03-14T18:25:29Z</cp:lastPrinted>
  <dcterms:created xsi:type="dcterms:W3CDTF">2013-12-19T16:37:24Z</dcterms:created>
  <dcterms:modified xsi:type="dcterms:W3CDTF">2025-03-19T14:48:35Z</dcterms:modified>
</cp:coreProperties>
</file>